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evzo\Desktop\Lev\аспирантура\Калькулятор\правки\"/>
    </mc:Choice>
  </mc:AlternateContent>
  <bookViews>
    <workbookView xWindow="0" yWindow="0" windowWidth="24240" windowHeight="10980" tabRatio="812" activeTab="3"/>
  </bookViews>
  <sheets>
    <sheet name="Баланс" sheetId="40" r:id="rId1"/>
    <sheet name="Электро" sheetId="7" r:id="rId2"/>
    <sheet name="Тепло" sheetId="8" r:id="rId3"/>
    <sheet name="Пр-й газ" sheetId="57" r:id="rId4"/>
    <sheet name="Уголь" sheetId="32" r:id="rId5"/>
    <sheet name="Каменный Уголь" sheetId="2" r:id="rId6"/>
    <sheet name="Кокс" sheetId="29" r:id="rId7"/>
    <sheet name="Коксовый газ" sheetId="30" r:id="rId8"/>
    <sheet name="Нефтепродукты" sheetId="31" r:id="rId9"/>
    <sheet name="Бензин" sheetId="4" r:id="rId10"/>
    <sheet name="Дизель" sheetId="33" r:id="rId11"/>
    <sheet name="Мазут" sheetId="34" r:id="rId12"/>
    <sheet name="СУГ" sheetId="36" r:id="rId13"/>
    <sheet name="ТПБ" sheetId="35" r:id="rId14"/>
    <sheet name="ПТТ" sheetId="37" r:id="rId15"/>
    <sheet name="Пеллеты" sheetId="38" r:id="rId16"/>
    <sheet name="Древесина" sheetId="39" r:id="rId17"/>
    <sheet name="Пр.тв.т. " sheetId="6" r:id="rId18"/>
  </sheets>
  <definedNames>
    <definedName name="_xlnm._FilterDatabase" localSheetId="2" hidden="1">Тепло!$A$2:$F$2</definedName>
    <definedName name="_xlnm._FilterDatabase" localSheetId="1" hidden="1">Электро!$A$2:$H$36</definedName>
  </definedNames>
  <calcPr calcId="162913"/>
</workbook>
</file>

<file path=xl/calcChain.xml><?xml version="1.0" encoding="utf-8"?>
<calcChain xmlns="http://schemas.openxmlformats.org/spreadsheetml/2006/main">
  <c r="B21" i="6" l="1"/>
  <c r="B7" i="6"/>
  <c r="B8" i="6" s="1"/>
  <c r="C21" i="39"/>
  <c r="C7" i="39"/>
  <c r="C8" i="39" s="1"/>
  <c r="B21" i="38"/>
  <c r="B7" i="38"/>
  <c r="B8" i="38" s="1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C21" i="35"/>
  <c r="C7" i="35"/>
  <c r="C8" i="35" s="1"/>
  <c r="C21" i="36"/>
  <c r="C7" i="36"/>
  <c r="C8" i="36" s="1"/>
  <c r="B8" i="36" s="1"/>
  <c r="B4" i="36"/>
  <c r="B5" i="36"/>
  <c r="B6" i="36"/>
  <c r="B7" i="36"/>
  <c r="B9" i="36"/>
  <c r="B10" i="36"/>
  <c r="B11" i="36"/>
  <c r="B12" i="36"/>
  <c r="B13" i="36"/>
  <c r="B14" i="36"/>
  <c r="B15" i="36"/>
  <c r="B16" i="36"/>
  <c r="B17" i="36"/>
  <c r="B18" i="36"/>
  <c r="B19" i="36"/>
  <c r="B20" i="36"/>
  <c r="B21" i="36"/>
  <c r="B22" i="36"/>
  <c r="B23" i="36"/>
  <c r="B24" i="36"/>
  <c r="B25" i="36"/>
  <c r="B26" i="36"/>
  <c r="B27" i="36"/>
  <c r="B28" i="36"/>
  <c r="B29" i="36"/>
  <c r="B30" i="36"/>
  <c r="B31" i="36"/>
  <c r="B32" i="36"/>
  <c r="B33" i="36"/>
  <c r="B34" i="36"/>
  <c r="B35" i="36"/>
  <c r="B36" i="36"/>
  <c r="B37" i="36"/>
  <c r="B3" i="36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" i="34"/>
  <c r="C21" i="34"/>
  <c r="C7" i="34"/>
  <c r="C8" i="34" s="1"/>
  <c r="C21" i="33"/>
  <c r="C7" i="33"/>
  <c r="C8" i="33" s="1"/>
  <c r="B8" i="33" s="1"/>
  <c r="B4" i="33"/>
  <c r="B5" i="33"/>
  <c r="B6" i="33"/>
  <c r="B7" i="33"/>
  <c r="B9" i="33"/>
  <c r="B10" i="33"/>
  <c r="B11" i="33"/>
  <c r="B12" i="33"/>
  <c r="B13" i="33"/>
  <c r="B14" i="33"/>
  <c r="B15" i="33"/>
  <c r="B16" i="33"/>
  <c r="B17" i="33"/>
  <c r="B18" i="33"/>
  <c r="B19" i="33"/>
  <c r="B20" i="33"/>
  <c r="B21" i="33"/>
  <c r="B22" i="33"/>
  <c r="B23" i="33"/>
  <c r="B24" i="33"/>
  <c r="B25" i="33"/>
  <c r="B26" i="33"/>
  <c r="B27" i="33"/>
  <c r="B28" i="33"/>
  <c r="B29" i="33"/>
  <c r="B30" i="33"/>
  <c r="B31" i="33"/>
  <c r="B32" i="33"/>
  <c r="B33" i="33"/>
  <c r="B34" i="33"/>
  <c r="B35" i="33"/>
  <c r="B36" i="33"/>
  <c r="B37" i="33"/>
  <c r="B3" i="33"/>
  <c r="C21" i="4"/>
  <c r="C7" i="4"/>
  <c r="C8" i="4" s="1"/>
  <c r="B8" i="4" s="1"/>
  <c r="B4" i="4"/>
  <c r="B5" i="4"/>
  <c r="B6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" i="4"/>
  <c r="C21" i="30"/>
  <c r="C7" i="30"/>
  <c r="C8" i="30" s="1"/>
  <c r="B8" i="30" s="1"/>
  <c r="B4" i="30"/>
  <c r="B5" i="30"/>
  <c r="B6" i="30"/>
  <c r="B7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C21" i="29"/>
  <c r="C7" i="29"/>
  <c r="C8" i="29" s="1"/>
  <c r="B8" i="29" s="1"/>
  <c r="B4" i="29"/>
  <c r="B5" i="29"/>
  <c r="B6" i="29"/>
  <c r="B9" i="29"/>
  <c r="B10" i="29"/>
  <c r="B11" i="29"/>
  <c r="B12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37" i="29"/>
  <c r="B37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" i="2"/>
  <c r="C21" i="2"/>
  <c r="B3" i="8"/>
  <c r="B4" i="57"/>
  <c r="B5" i="57"/>
  <c r="B6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3" i="57"/>
  <c r="B24" i="57"/>
  <c r="B25" i="57"/>
  <c r="B26" i="57"/>
  <c r="B27" i="57"/>
  <c r="B28" i="57"/>
  <c r="B29" i="57"/>
  <c r="B30" i="57"/>
  <c r="B31" i="57"/>
  <c r="B32" i="57"/>
  <c r="B33" i="57"/>
  <c r="B34" i="57"/>
  <c r="B35" i="57"/>
  <c r="B36" i="57"/>
  <c r="B37" i="57"/>
  <c r="B38" i="57"/>
  <c r="B7" i="4" l="1"/>
  <c r="B7" i="29"/>
  <c r="B4" i="8"/>
  <c r="B5" i="8"/>
  <c r="B6" i="8"/>
  <c r="B7" i="8"/>
  <c r="B8" i="8"/>
  <c r="B9" i="8"/>
  <c r="B10" i="8"/>
  <c r="B13" i="8"/>
  <c r="B14" i="8"/>
  <c r="B15" i="8"/>
  <c r="B16" i="8"/>
  <c r="B17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F1" i="8"/>
  <c r="F1" i="7"/>
  <c r="B4" i="7" l="1"/>
  <c r="B5" i="7"/>
  <c r="B6" i="7"/>
  <c r="B7" i="7"/>
  <c r="B10" i="7"/>
  <c r="B11" i="7"/>
  <c r="B12" i="7"/>
  <c r="B13" i="7"/>
  <c r="B14" i="7"/>
  <c r="B15" i="7"/>
  <c r="B16" i="7"/>
  <c r="B17" i="7"/>
  <c r="B18" i="7"/>
  <c r="B19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36" i="39"/>
  <c r="B37" i="39"/>
  <c r="B12" i="39"/>
  <c r="B10" i="39"/>
  <c r="B10" i="37"/>
  <c r="G11" i="40"/>
  <c r="B11" i="39" l="1"/>
  <c r="B13" i="39"/>
  <c r="B9" i="39"/>
  <c r="B6" i="39"/>
  <c r="B3" i="39"/>
  <c r="B3" i="30"/>
  <c r="B3" i="29"/>
  <c r="E1" i="32"/>
  <c r="F18" i="40"/>
  <c r="F17" i="40"/>
  <c r="B3" i="57"/>
  <c r="F23" i="40"/>
  <c r="F24" i="40"/>
  <c r="F26" i="40"/>
  <c r="F27" i="40"/>
  <c r="F28" i="40"/>
  <c r="F29" i="40"/>
  <c r="F30" i="40"/>
  <c r="F35" i="40"/>
  <c r="F34" i="40"/>
  <c r="F32" i="40"/>
  <c r="F33" i="40"/>
  <c r="F31" i="40"/>
  <c r="F38" i="40"/>
  <c r="F37" i="40"/>
  <c r="F36" i="40"/>
  <c r="E1" i="8"/>
  <c r="C11" i="8"/>
  <c r="B11" i="8" s="1"/>
  <c r="H5" i="40"/>
  <c r="C8" i="7"/>
  <c r="B8" i="7" s="1"/>
  <c r="B3" i="7" l="1"/>
  <c r="E1" i="4" l="1"/>
  <c r="F1" i="6"/>
  <c r="F1" i="39"/>
  <c r="F1" i="37"/>
  <c r="E1" i="6"/>
  <c r="E1" i="39"/>
  <c r="C1" i="38"/>
  <c r="G1" i="37"/>
  <c r="E1" i="37"/>
  <c r="E1" i="35"/>
  <c r="E1" i="36"/>
  <c r="E1" i="34"/>
  <c r="E1" i="33"/>
  <c r="E1" i="31"/>
  <c r="E1" i="30"/>
  <c r="E1" i="29"/>
  <c r="E1" i="2"/>
  <c r="E1" i="57"/>
  <c r="E1" i="7"/>
  <c r="F25" i="40"/>
  <c r="F11" i="40"/>
  <c r="F13" i="40"/>
  <c r="F19" i="40"/>
  <c r="F21" i="40"/>
  <c r="F5" i="40"/>
  <c r="C22" i="57"/>
  <c r="B22" i="57" s="1"/>
  <c r="D16" i="40"/>
  <c r="F14" i="40"/>
  <c r="F6" i="40"/>
  <c r="F15" i="40"/>
  <c r="C7" i="57"/>
  <c r="F8" i="40"/>
  <c r="F7" i="40"/>
  <c r="B7" i="57" l="1"/>
  <c r="C8" i="57"/>
  <c r="B8" i="57" s="1"/>
  <c r="F20" i="40"/>
  <c r="F22" i="40"/>
  <c r="F9" i="40"/>
  <c r="F12" i="40"/>
  <c r="F10" i="40" l="1"/>
  <c r="H12" i="40"/>
  <c r="H16" i="40"/>
  <c r="I16" i="40"/>
  <c r="F16" i="40" l="1"/>
  <c r="C7" i="2" l="1"/>
  <c r="B7" i="32" s="1"/>
  <c r="B8" i="39" l="1"/>
  <c r="B7" i="39"/>
  <c r="C20" i="7" l="1"/>
  <c r="B20" i="7" s="1"/>
  <c r="C8" i="2"/>
  <c r="C18" i="8"/>
  <c r="B18" i="8" s="1"/>
  <c r="K22" i="40" l="1"/>
  <c r="C12" i="8"/>
  <c r="B12" i="8" s="1"/>
  <c r="K7" i="40"/>
  <c r="J22" i="40"/>
  <c r="C9" i="7"/>
  <c r="B18" i="32"/>
  <c r="B4" i="32"/>
  <c r="B4" i="39"/>
  <c r="B5" i="39"/>
  <c r="B10" i="31"/>
  <c r="B12" i="31"/>
  <c r="B25" i="31"/>
  <c r="B27" i="31"/>
  <c r="B28" i="31"/>
  <c r="B7" i="31"/>
  <c r="B23" i="31"/>
  <c r="B9" i="31"/>
  <c r="B11" i="31"/>
  <c r="B13" i="31"/>
  <c r="B29" i="31"/>
  <c r="B5" i="32"/>
  <c r="B6" i="32"/>
  <c r="B14" i="32"/>
  <c r="B16" i="32"/>
  <c r="B21" i="32"/>
  <c r="B23" i="32"/>
  <c r="B35" i="32"/>
  <c r="B3" i="32"/>
  <c r="K6" i="40"/>
  <c r="K8" i="40"/>
  <c r="K10" i="40"/>
  <c r="K17" i="40"/>
  <c r="K18" i="40"/>
  <c r="K19" i="40"/>
  <c r="K20" i="40"/>
  <c r="K21" i="40"/>
  <c r="K23" i="40"/>
  <c r="K24" i="40"/>
  <c r="K25" i="40"/>
  <c r="K26" i="40"/>
  <c r="K27" i="40"/>
  <c r="K28" i="40"/>
  <c r="K29" i="40"/>
  <c r="K30" i="40"/>
  <c r="K31" i="40"/>
  <c r="K32" i="40"/>
  <c r="K33" i="40"/>
  <c r="K34" i="40"/>
  <c r="K35" i="40"/>
  <c r="K36" i="40"/>
  <c r="K37" i="40"/>
  <c r="K38" i="40"/>
  <c r="K13" i="40"/>
  <c r="K14" i="40"/>
  <c r="K15" i="40"/>
  <c r="H9" i="40"/>
  <c r="H11" i="40" s="1"/>
  <c r="J6" i="40"/>
  <c r="J7" i="40"/>
  <c r="J8" i="40"/>
  <c r="J13" i="40"/>
  <c r="J14" i="40"/>
  <c r="J17" i="40"/>
  <c r="J18" i="40"/>
  <c r="J19" i="40"/>
  <c r="J20" i="40"/>
  <c r="J21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36" i="40"/>
  <c r="J37" i="40"/>
  <c r="J38" i="40"/>
  <c r="J11" i="40"/>
  <c r="B26" i="31" l="1"/>
  <c r="B24" i="31"/>
  <c r="B9" i="7"/>
  <c r="J10" i="40" s="1"/>
  <c r="B33" i="32"/>
  <c r="B31" i="32"/>
  <c r="J9" i="40"/>
  <c r="B30" i="32"/>
  <c r="C31" i="40" s="1"/>
  <c r="B34" i="32"/>
  <c r="C35" i="40" s="1"/>
  <c r="B20" i="32"/>
  <c r="C21" i="40" s="1"/>
  <c r="B17" i="32"/>
  <c r="C18" i="40" s="1"/>
  <c r="B15" i="32"/>
  <c r="C15" i="40" s="1"/>
  <c r="B22" i="32"/>
  <c r="C23" i="40" s="1"/>
  <c r="K9" i="40"/>
  <c r="B8" i="31"/>
  <c r="B32" i="32"/>
  <c r="C33" i="40" s="1"/>
  <c r="B19" i="32"/>
  <c r="C20" i="40" s="1"/>
  <c r="B36" i="32"/>
  <c r="C37" i="40" s="1"/>
  <c r="B24" i="32"/>
  <c r="K16" i="40"/>
  <c r="K12" i="40"/>
  <c r="J15" i="40"/>
  <c r="J12" i="40" s="1"/>
  <c r="J16" i="40"/>
  <c r="B22" i="31"/>
  <c r="B5" i="31"/>
  <c r="B3" i="31"/>
  <c r="B6" i="31"/>
  <c r="B20" i="31"/>
  <c r="B37" i="31"/>
  <c r="B4" i="31"/>
  <c r="B21" i="31"/>
  <c r="B36" i="31"/>
  <c r="B35" i="31"/>
  <c r="B19" i="31"/>
  <c r="B34" i="31"/>
  <c r="B18" i="31"/>
  <c r="B33" i="31"/>
  <c r="B17" i="31"/>
  <c r="B32" i="31"/>
  <c r="B16" i="31"/>
  <c r="B31" i="31"/>
  <c r="B15" i="31"/>
  <c r="B30" i="31"/>
  <c r="B14" i="31"/>
  <c r="B8" i="32"/>
  <c r="B13" i="32"/>
  <c r="C14" i="40" s="1"/>
  <c r="B37" i="32"/>
  <c r="C38" i="40" s="1"/>
  <c r="B28" i="32"/>
  <c r="C29" i="40" s="1"/>
  <c r="B12" i="32"/>
  <c r="C13" i="40" s="1"/>
  <c r="B27" i="32"/>
  <c r="C28" i="40" s="1"/>
  <c r="B11" i="32"/>
  <c r="B26" i="32"/>
  <c r="C27" i="40" s="1"/>
  <c r="B10" i="32"/>
  <c r="C11" i="40" s="1"/>
  <c r="B29" i="32"/>
  <c r="C30" i="40" s="1"/>
  <c r="B25" i="32"/>
  <c r="C26" i="40" s="1"/>
  <c r="C9" i="40"/>
  <c r="C25" i="40"/>
  <c r="C24" i="40"/>
  <c r="C8" i="40"/>
  <c r="C19" i="40"/>
  <c r="C22" i="40"/>
  <c r="C7" i="40"/>
  <c r="C34" i="40"/>
  <c r="C6" i="40"/>
  <c r="C32" i="40"/>
  <c r="C36" i="40"/>
  <c r="C5" i="40"/>
  <c r="C17" i="40"/>
  <c r="C12" i="40" l="1"/>
  <c r="C16" i="40"/>
  <c r="B4" i="37"/>
  <c r="G6" i="40" s="1"/>
  <c r="G7" i="40"/>
  <c r="B6" i="37"/>
  <c r="G8" i="40" s="1"/>
  <c r="B9" i="37"/>
  <c r="B11" i="37"/>
  <c r="B12" i="37"/>
  <c r="G13" i="40" s="1"/>
  <c r="B13" i="37"/>
  <c r="G14" i="40" s="1"/>
  <c r="B14" i="37"/>
  <c r="B15" i="37"/>
  <c r="B16" i="37"/>
  <c r="G17" i="40" s="1"/>
  <c r="B17" i="37"/>
  <c r="G18" i="40" s="1"/>
  <c r="B18" i="37"/>
  <c r="G19" i="40" s="1"/>
  <c r="B19" i="37"/>
  <c r="G20" i="40" s="1"/>
  <c r="B20" i="37"/>
  <c r="G21" i="40" s="1"/>
  <c r="B22" i="37"/>
  <c r="G23" i="40" s="1"/>
  <c r="B23" i="37"/>
  <c r="G24" i="40" s="1"/>
  <c r="B24" i="37"/>
  <c r="G25" i="40" s="1"/>
  <c r="B25" i="37"/>
  <c r="G26" i="40" s="1"/>
  <c r="B26" i="37"/>
  <c r="G27" i="40" s="1"/>
  <c r="B27" i="37"/>
  <c r="G28" i="40" s="1"/>
  <c r="B28" i="37"/>
  <c r="G29" i="40" s="1"/>
  <c r="B29" i="37"/>
  <c r="G30" i="40" s="1"/>
  <c r="B30" i="37"/>
  <c r="G31" i="40" s="1"/>
  <c r="B31" i="37"/>
  <c r="G32" i="40" s="1"/>
  <c r="B32" i="37"/>
  <c r="G33" i="40" s="1"/>
  <c r="B33" i="37"/>
  <c r="G34" i="40" s="1"/>
  <c r="B34" i="37"/>
  <c r="G35" i="40" s="1"/>
  <c r="B35" i="37"/>
  <c r="G36" i="40" s="1"/>
  <c r="B36" i="37"/>
  <c r="G37" i="40" s="1"/>
  <c r="B37" i="37"/>
  <c r="G38" i="40" s="1"/>
  <c r="E6" i="40"/>
  <c r="E7" i="40"/>
  <c r="E8" i="40"/>
  <c r="E11" i="40"/>
  <c r="E13" i="40"/>
  <c r="E14" i="40"/>
  <c r="E17" i="40"/>
  <c r="E18" i="40"/>
  <c r="E19" i="40"/>
  <c r="E20" i="40"/>
  <c r="E21" i="40"/>
  <c r="E23" i="40"/>
  <c r="L23" i="40" s="1"/>
  <c r="E24" i="40"/>
  <c r="L24" i="40" s="1"/>
  <c r="E25" i="40"/>
  <c r="E26" i="40"/>
  <c r="E27" i="40"/>
  <c r="E28" i="40"/>
  <c r="E29" i="40"/>
  <c r="E30" i="40"/>
  <c r="E31" i="40"/>
  <c r="E32" i="40"/>
  <c r="E33" i="40"/>
  <c r="E34" i="40"/>
  <c r="E35" i="40"/>
  <c r="E36" i="40"/>
  <c r="E37" i="40"/>
  <c r="E38" i="40"/>
  <c r="L38" i="40" l="1"/>
  <c r="L26" i="40"/>
  <c r="L6" i="40"/>
  <c r="L25" i="40"/>
  <c r="L21" i="40"/>
  <c r="L7" i="40"/>
  <c r="L11" i="40"/>
  <c r="G15" i="40"/>
  <c r="G12" i="40" s="1"/>
  <c r="L33" i="40"/>
  <c r="L37" i="40"/>
  <c r="L18" i="40"/>
  <c r="L20" i="40"/>
  <c r="L19" i="40"/>
  <c r="L34" i="40"/>
  <c r="L31" i="40"/>
  <c r="L35" i="40"/>
  <c r="L36" i="40"/>
  <c r="L32" i="40"/>
  <c r="L17" i="40"/>
  <c r="L14" i="40"/>
  <c r="L13" i="40"/>
  <c r="L8" i="40"/>
  <c r="G16" i="40"/>
  <c r="L30" i="40"/>
  <c r="L29" i="40"/>
  <c r="L28" i="40"/>
  <c r="L27" i="40"/>
  <c r="E15" i="40"/>
  <c r="E16" i="40"/>
  <c r="L15" i="40" l="1"/>
  <c r="E12" i="40"/>
  <c r="L12" i="40" s="1"/>
  <c r="L16" i="40"/>
  <c r="E5" i="40"/>
  <c r="B7" i="37" l="1"/>
  <c r="G9" i="40" s="1"/>
  <c r="B21" i="37"/>
  <c r="G22" i="40" s="1"/>
  <c r="E9" i="40"/>
  <c r="E22" i="40"/>
  <c r="L22" i="40" l="1"/>
  <c r="L9" i="40"/>
  <c r="B8" i="37"/>
  <c r="G10" i="40" s="1"/>
  <c r="E10" i="40"/>
  <c r="B3" i="37" l="1"/>
  <c r="G5" i="40" s="1"/>
  <c r="L5" i="40" s="1"/>
  <c r="B9" i="32" l="1"/>
  <c r="C10" i="40"/>
  <c r="L10" i="40" s="1"/>
</calcChain>
</file>

<file path=xl/sharedStrings.xml><?xml version="1.0" encoding="utf-8"?>
<sst xmlns="http://schemas.openxmlformats.org/spreadsheetml/2006/main" count="700" uniqueCount="109">
  <si>
    <t>Ввоз</t>
  </si>
  <si>
    <t>Вывоз</t>
  </si>
  <si>
    <t>Изменение запасов</t>
  </si>
  <si>
    <t>Котельные</t>
  </si>
  <si>
    <t>Переработка нефти</t>
  </si>
  <si>
    <t>Переработка газа</t>
  </si>
  <si>
    <t>Собственные нужды</t>
  </si>
  <si>
    <t>Конечное потребление</t>
  </si>
  <si>
    <t>Железнодорожный</t>
  </si>
  <si>
    <t>Трубопроводный</t>
  </si>
  <si>
    <t>Автомобильный</t>
  </si>
  <si>
    <t>Прочий транспорт</t>
  </si>
  <si>
    <t>Сельское хозяйство</t>
  </si>
  <si>
    <t>Сфера услуг</t>
  </si>
  <si>
    <t>Население</t>
  </si>
  <si>
    <t>Неэнергетические нужды</t>
  </si>
  <si>
    <t>Получено из-за пределов области</t>
  </si>
  <si>
    <t>Отпущено за пределы области</t>
  </si>
  <si>
    <t>Потреблено всего</t>
  </si>
  <si>
    <t>В теплоутилизационных и прочих установках</t>
  </si>
  <si>
    <t xml:space="preserve">Строительство </t>
  </si>
  <si>
    <t>Производство тепла</t>
  </si>
  <si>
    <t>Потери в сетях</t>
  </si>
  <si>
    <t>Производство электроэнергии</t>
  </si>
  <si>
    <t>Стат.расхождение</t>
  </si>
  <si>
    <t>Теплоэлектростанции</t>
  </si>
  <si>
    <t>Электрокотельные</t>
  </si>
  <si>
    <t>Обогащение угля</t>
  </si>
  <si>
    <t>Выработано</t>
  </si>
  <si>
    <t>Транспортировка, хранение и связь</t>
  </si>
  <si>
    <t>Прочее твердое топливо, тыс. т у.т.</t>
  </si>
  <si>
    <t>в том числе Гидро</t>
  </si>
  <si>
    <t>Производство ЭЭ и ТЭ</t>
  </si>
  <si>
    <t xml:space="preserve">Производство ЭЭ и ТЭ </t>
  </si>
  <si>
    <t>Топливно-энергетический баланс</t>
  </si>
  <si>
    <t>Год</t>
  </si>
  <si>
    <t>Уголь</t>
  </si>
  <si>
    <t>Нефте-продукты</t>
  </si>
  <si>
    <t>Природ-ный газ</t>
  </si>
  <si>
    <t>Прочее твёрдое топливо</t>
  </si>
  <si>
    <t>Гидро-энергия и НВИЭ</t>
  </si>
  <si>
    <t>Атомная энергия</t>
  </si>
  <si>
    <t>Электро-энергия</t>
  </si>
  <si>
    <t>Тепловая энергия</t>
  </si>
  <si>
    <t>Всего</t>
  </si>
  <si>
    <t>Производство энергетических ресурсов</t>
  </si>
  <si>
    <t>Потребление первичной энергии</t>
  </si>
  <si>
    <t>Статистическое расхождение</t>
  </si>
  <si>
    <t>Производство ЭЭ</t>
  </si>
  <si>
    <t>Производство тепловой энергии</t>
  </si>
  <si>
    <t>Электрокотельные и теплоутилизационные установки</t>
  </si>
  <si>
    <t>Преобразование топлива</t>
  </si>
  <si>
    <t>Потери при передаче</t>
  </si>
  <si>
    <t>Промышленность</t>
  </si>
  <si>
    <t>Транспорт и связь</t>
  </si>
  <si>
    <t>ТЭБ, тыс. т у.т.</t>
  </si>
  <si>
    <t xml:space="preserve">   Добыча полезных ископаемых</t>
  </si>
  <si>
    <t xml:space="preserve">   Обрабатывающие производства</t>
  </si>
  <si>
    <t xml:space="preserve">   Обеспечение ЭЭ, газом и паром</t>
  </si>
  <si>
    <t xml:space="preserve">   Водоснабжение, водоотведение, утилизация отходов</t>
  </si>
  <si>
    <t xml:space="preserve">   Прочая промышленность</t>
  </si>
  <si>
    <t>В баланс, тыс. т у.т.</t>
  </si>
  <si>
    <t>Прочее твердое топливо</t>
  </si>
  <si>
    <t>Пеллеты</t>
  </si>
  <si>
    <t>Древесина</t>
  </si>
  <si>
    <t>Природный газ</t>
  </si>
  <si>
    <t>Топливо печное бытовое</t>
  </si>
  <si>
    <t xml:space="preserve">Сжиженный углеводородный газ </t>
  </si>
  <si>
    <t>Мазут топочный</t>
  </si>
  <si>
    <t>Топливо дизельное</t>
  </si>
  <si>
    <t>Бензин</t>
  </si>
  <si>
    <t>Нефтепродукты</t>
  </si>
  <si>
    <t>Нефть</t>
  </si>
  <si>
    <t>Коксовый газ</t>
  </si>
  <si>
    <t>Кокс</t>
  </si>
  <si>
    <t>Электрическая энергия</t>
  </si>
  <si>
    <t>В натуральных единицах, т</t>
  </si>
  <si>
    <t>В баланс, тыс. кВтч</t>
  </si>
  <si>
    <t>В баланс, Гкал</t>
  </si>
  <si>
    <t>В баланс, тыс. т у.т., к-т перевода 0.14286</t>
  </si>
  <si>
    <t>В баланс, тыс. т у.т., к-т перевода 0.765</t>
  </si>
  <si>
    <t>В баланс, тыс. т у.т., к-т перевода 0.9</t>
  </si>
  <si>
    <t>В баланс, тыс. т у.т., к-т перевода 0.57</t>
  </si>
  <si>
    <t>В баланс, тыс. т у.т., к-т перевода 1.49</t>
  </si>
  <si>
    <t>В баланс, тыс. т у.т., к-т перевода 1.45</t>
  </si>
  <si>
    <t>В баланс, тыс. т у.т., к-т перевода 1.37</t>
  </si>
  <si>
    <t>В баланс, тыс. т у.т., к-т перевода 1.57</t>
  </si>
  <si>
    <t>В баланс, тыс. т у.т., к-т перевода 1.154</t>
  </si>
  <si>
    <t>В баланс, тыс. т у.т., к-т перевода 0.266</t>
  </si>
  <si>
    <t>В натуральных единицах, тыс. куб. м</t>
  </si>
  <si>
    <t>В натуральных единицах, куб. м</t>
  </si>
  <si>
    <t xml:space="preserve"> </t>
  </si>
  <si>
    <t xml:space="preserve">   Электростанции </t>
  </si>
  <si>
    <t>Каменный Уголь</t>
  </si>
  <si>
    <t>Московская область.</t>
  </si>
  <si>
    <t>В баланс, тыс. т у.т., к-т перевода 0.123</t>
  </si>
  <si>
    <t>Электростанциями</t>
  </si>
  <si>
    <t>Котельными</t>
  </si>
  <si>
    <t>в электрокотлах</t>
  </si>
  <si>
    <t xml:space="preserve">    Железнодорожный</t>
  </si>
  <si>
    <t>Сельское хозяйство, рыболовство, лесное хозяйство</t>
  </si>
  <si>
    <t xml:space="preserve">   Теплоэлектростанции</t>
  </si>
  <si>
    <t>2022 г.</t>
  </si>
  <si>
    <t>В натуральных единицах, тыс. куб. м/т у.т.</t>
  </si>
  <si>
    <t>2022 год</t>
  </si>
  <si>
    <t>В натуральных единицах, т/       т у.т.</t>
  </si>
  <si>
    <t>В натуральных единицах, т/         т у.т.</t>
  </si>
  <si>
    <t>В натуральных единицах, т/ т у.т.</t>
  </si>
  <si>
    <t>В натуральных единицах, т/        т у.т.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</si>
</sst>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0"/>
      <name val="Arial Cyr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0"/>
      <name val="Arial Cyr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name val="Arial Cyr"/>
      <charset val="204"/>
    </font>
    <font>
      <sz val="10"/>
      <color rgb="FF000000"/>
      <name val="Arial Cyr"/>
    </font>
    <font>
      <b/>
      <sz val="14"/>
      <name val="Times New Roman"/>
      <family val="1"/>
      <charset val="204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name val="Arial"/>
      <family val="2"/>
      <charset val="204"/>
    </font>
    <font>
      <b/>
      <sz val="12"/>
      <name val="Arial"/>
      <family val="2"/>
      <charset val="204"/>
    </font>
    <font>
      <b/>
      <sz val="18"/>
      <name val="Times New Roman"/>
      <family val="1"/>
      <charset val="204"/>
    </font>
  </fonts>
  <fills count="2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33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58"/>
      </patternFill>
    </fill>
    <fill>
      <patternFill patternType="solid">
        <fgColor indexed="44"/>
        <bgColor indexed="38"/>
      </patternFill>
    </fill>
    <fill>
      <patternFill patternType="solid">
        <fgColor indexed="29"/>
        <bgColor indexed="61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28"/>
      </patternFill>
    </fill>
    <fill>
      <patternFill patternType="solid">
        <fgColor indexed="30"/>
        <bgColor indexed="48"/>
      </patternFill>
    </fill>
    <fill>
      <patternFill patternType="solid">
        <fgColor indexed="20"/>
        <bgColor indexed="62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6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16"/>
      </patternFill>
    </fill>
    <fill>
      <patternFill patternType="darkGray">
        <fgColor indexed="57"/>
        <bgColor indexed="21"/>
      </patternFill>
    </fill>
    <fill>
      <patternFill patternType="solid">
        <fgColor indexed="53"/>
        <bgColor indexed="19"/>
      </patternFill>
    </fill>
    <fill>
      <patternFill patternType="solid">
        <fgColor indexed="22"/>
        <bgColor indexed="35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18"/>
      </patternFill>
    </fill>
    <fill>
      <patternFill patternType="solid">
        <fgColor indexed="26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8">
    <xf numFmtId="0" fontId="0" fillId="0" borderId="0">
      <alignment vertical="top"/>
    </xf>
    <xf numFmtId="0" fontId="3" fillId="2" borderId="0" applyNumberFormat="0" applyBorder="0" applyProtection="0">
      <alignment vertical="top"/>
    </xf>
    <xf numFmtId="0" fontId="3" fillId="3" borderId="0" applyNumberFormat="0" applyBorder="0" applyProtection="0">
      <alignment vertical="top"/>
    </xf>
    <xf numFmtId="0" fontId="3" fillId="4" borderId="0" applyNumberFormat="0" applyBorder="0" applyProtection="0">
      <alignment vertical="top"/>
    </xf>
    <xf numFmtId="0" fontId="3" fillId="5" borderId="0" applyNumberFormat="0" applyBorder="0" applyProtection="0">
      <alignment vertical="top"/>
    </xf>
    <xf numFmtId="0" fontId="3" fillId="6" borderId="0" applyNumberFormat="0" applyBorder="0" applyProtection="0">
      <alignment vertical="top"/>
    </xf>
    <xf numFmtId="0" fontId="3" fillId="7" borderId="0" applyNumberFormat="0" applyBorder="0" applyProtection="0">
      <alignment vertical="top"/>
    </xf>
    <xf numFmtId="0" fontId="3" fillId="8" borderId="0" applyNumberFormat="0" applyBorder="0" applyProtection="0">
      <alignment vertical="top"/>
    </xf>
    <xf numFmtId="0" fontId="3" fillId="9" borderId="0" applyNumberFormat="0" applyBorder="0" applyProtection="0">
      <alignment vertical="top"/>
    </xf>
    <xf numFmtId="0" fontId="3" fillId="10" borderId="0" applyNumberFormat="0" applyBorder="0" applyProtection="0">
      <alignment vertical="top"/>
    </xf>
    <xf numFmtId="0" fontId="3" fillId="5" borderId="0" applyNumberFormat="0" applyBorder="0" applyProtection="0">
      <alignment vertical="top"/>
    </xf>
    <xf numFmtId="0" fontId="3" fillId="8" borderId="0" applyNumberFormat="0" applyBorder="0" applyProtection="0">
      <alignment vertical="top"/>
    </xf>
    <xf numFmtId="0" fontId="3" fillId="11" borderId="0" applyNumberFormat="0" applyBorder="0" applyProtection="0">
      <alignment vertical="top"/>
    </xf>
    <xf numFmtId="0" fontId="4" fillId="12" borderId="0" applyNumberFormat="0" applyBorder="0" applyProtection="0">
      <alignment vertical="top"/>
    </xf>
    <xf numFmtId="0" fontId="4" fillId="9" borderId="0" applyNumberFormat="0" applyBorder="0" applyProtection="0">
      <alignment vertical="top"/>
    </xf>
    <xf numFmtId="0" fontId="4" fillId="10" borderId="0" applyNumberFormat="0" applyBorder="0" applyProtection="0">
      <alignment vertical="top"/>
    </xf>
    <xf numFmtId="0" fontId="4" fillId="13" borderId="0" applyNumberFormat="0" applyBorder="0" applyProtection="0">
      <alignment vertical="top"/>
    </xf>
    <xf numFmtId="0" fontId="4" fillId="14" borderId="0" applyNumberFormat="0" applyBorder="0" applyProtection="0">
      <alignment vertical="top"/>
    </xf>
    <xf numFmtId="0" fontId="4" fillId="15" borderId="0" applyNumberFormat="0" applyBorder="0" applyProtection="0">
      <alignment vertical="top"/>
    </xf>
    <xf numFmtId="0" fontId="4" fillId="16" borderId="0" applyNumberFormat="0" applyBorder="0" applyProtection="0">
      <alignment vertical="top"/>
    </xf>
    <xf numFmtId="0" fontId="4" fillId="17" borderId="0" applyNumberFormat="0" applyBorder="0" applyProtection="0">
      <alignment vertical="top"/>
    </xf>
    <xf numFmtId="0" fontId="4" fillId="18" borderId="0" applyNumberFormat="0" applyBorder="0" applyProtection="0">
      <alignment vertical="top"/>
    </xf>
    <xf numFmtId="0" fontId="4" fillId="13" borderId="0" applyNumberFormat="0" applyBorder="0" applyProtection="0">
      <alignment vertical="top"/>
    </xf>
    <xf numFmtId="0" fontId="4" fillId="14" borderId="0" applyNumberFormat="0" applyBorder="0" applyProtection="0">
      <alignment vertical="top"/>
    </xf>
    <xf numFmtId="0" fontId="4" fillId="19" borderId="0" applyNumberFormat="0" applyBorder="0" applyProtection="0">
      <alignment vertical="top"/>
    </xf>
    <xf numFmtId="0" fontId="5" fillId="7" borderId="1" applyNumberFormat="0" applyProtection="0">
      <alignment vertical="top"/>
    </xf>
    <xf numFmtId="0" fontId="6" fillId="20" borderId="2" applyNumberFormat="0" applyProtection="0">
      <alignment vertical="top"/>
    </xf>
    <xf numFmtId="0" fontId="7" fillId="20" borderId="1" applyNumberFormat="0" applyProtection="0">
      <alignment vertical="top"/>
    </xf>
    <xf numFmtId="0" fontId="8" fillId="0" borderId="3" applyNumberFormat="0" applyFill="0" applyProtection="0">
      <alignment vertical="top"/>
    </xf>
    <xf numFmtId="0" fontId="9" fillId="0" borderId="4" applyNumberFormat="0" applyFill="0" applyProtection="0">
      <alignment vertical="top"/>
    </xf>
    <xf numFmtId="0" fontId="10" fillId="0" borderId="5" applyNumberFormat="0" applyFill="0" applyProtection="0">
      <alignment vertical="top"/>
    </xf>
    <xf numFmtId="0" fontId="10" fillId="0" borderId="0" applyNumberFormat="0" applyFill="0" applyBorder="0" applyProtection="0">
      <alignment vertical="top"/>
    </xf>
    <xf numFmtId="0" fontId="11" fillId="0" borderId="6" applyNumberFormat="0" applyFill="0" applyProtection="0">
      <alignment vertical="top"/>
    </xf>
    <xf numFmtId="0" fontId="12" fillId="21" borderId="7" applyNumberFormat="0" applyProtection="0">
      <alignment vertical="top"/>
    </xf>
    <xf numFmtId="0" fontId="13" fillId="0" borderId="0" applyNumberFormat="0" applyFill="0" applyBorder="0" applyProtection="0">
      <alignment vertical="top"/>
    </xf>
    <xf numFmtId="0" fontId="14" fillId="22" borderId="0" applyNumberFormat="0" applyBorder="0" applyProtection="0">
      <alignment vertical="top"/>
    </xf>
    <xf numFmtId="0" fontId="22" fillId="0" borderId="0"/>
    <xf numFmtId="0" fontId="15" fillId="3" borderId="0" applyNumberFormat="0" applyBorder="0" applyProtection="0">
      <alignment vertical="top"/>
    </xf>
    <xf numFmtId="0" fontId="16" fillId="0" borderId="0" applyNumberFormat="0" applyFill="0" applyBorder="0" applyProtection="0">
      <alignment vertical="top"/>
    </xf>
    <xf numFmtId="0" fontId="22" fillId="23" borderId="8" applyNumberFormat="0" applyProtection="0">
      <alignment vertical="top"/>
    </xf>
    <xf numFmtId="0" fontId="17" fillId="0" borderId="9" applyNumberFormat="0" applyFill="0" applyProtection="0">
      <alignment vertical="top"/>
    </xf>
    <xf numFmtId="0" fontId="18" fillId="0" borderId="0" applyNumberFormat="0" applyFill="0" applyBorder="0" applyProtection="0">
      <alignment vertical="top"/>
    </xf>
    <xf numFmtId="0" fontId="19" fillId="4" borderId="0" applyNumberFormat="0" applyBorder="0" applyProtection="0">
      <alignment vertical="top"/>
    </xf>
    <xf numFmtId="0" fontId="25" fillId="0" borderId="0"/>
    <xf numFmtId="0" fontId="2" fillId="0" borderId="0"/>
    <xf numFmtId="0" fontId="22" fillId="0" borderId="0">
      <alignment vertical="top"/>
    </xf>
    <xf numFmtId="0" fontId="3" fillId="2" borderId="0" applyNumberFormat="0" applyBorder="0" applyProtection="0">
      <alignment vertical="top"/>
    </xf>
    <xf numFmtId="0" fontId="3" fillId="3" borderId="0" applyNumberFormat="0" applyBorder="0" applyProtection="0">
      <alignment vertical="top"/>
    </xf>
    <xf numFmtId="0" fontId="3" fillId="4" borderId="0" applyNumberFormat="0" applyBorder="0" applyProtection="0">
      <alignment vertical="top"/>
    </xf>
    <xf numFmtId="0" fontId="3" fillId="5" borderId="0" applyNumberFormat="0" applyBorder="0" applyProtection="0">
      <alignment vertical="top"/>
    </xf>
    <xf numFmtId="0" fontId="3" fillId="6" borderId="0" applyNumberFormat="0" applyBorder="0" applyProtection="0">
      <alignment vertical="top"/>
    </xf>
    <xf numFmtId="0" fontId="3" fillId="7" borderId="0" applyNumberFormat="0" applyBorder="0" applyProtection="0">
      <alignment vertical="top"/>
    </xf>
    <xf numFmtId="0" fontId="3" fillId="8" borderId="0" applyNumberFormat="0" applyBorder="0" applyProtection="0">
      <alignment vertical="top"/>
    </xf>
    <xf numFmtId="0" fontId="3" fillId="9" borderId="0" applyNumberFormat="0" applyBorder="0" applyProtection="0">
      <alignment vertical="top"/>
    </xf>
    <xf numFmtId="0" fontId="3" fillId="10" borderId="0" applyNumberFormat="0" applyBorder="0" applyProtection="0">
      <alignment vertical="top"/>
    </xf>
    <xf numFmtId="0" fontId="3" fillId="5" borderId="0" applyNumberFormat="0" applyBorder="0" applyProtection="0">
      <alignment vertical="top"/>
    </xf>
    <xf numFmtId="0" fontId="3" fillId="8" borderId="0" applyNumberFormat="0" applyBorder="0" applyProtection="0">
      <alignment vertical="top"/>
    </xf>
    <xf numFmtId="0" fontId="3" fillId="11" borderId="0" applyNumberFormat="0" applyBorder="0" applyProtection="0">
      <alignment vertical="top"/>
    </xf>
    <xf numFmtId="0" fontId="4" fillId="12" borderId="0" applyNumberFormat="0" applyBorder="0" applyProtection="0">
      <alignment vertical="top"/>
    </xf>
    <xf numFmtId="0" fontId="4" fillId="9" borderId="0" applyNumberFormat="0" applyBorder="0" applyProtection="0">
      <alignment vertical="top"/>
    </xf>
    <xf numFmtId="0" fontId="4" fillId="10" borderId="0" applyNumberFormat="0" applyBorder="0" applyProtection="0">
      <alignment vertical="top"/>
    </xf>
    <xf numFmtId="0" fontId="4" fillId="13" borderId="0" applyNumberFormat="0" applyBorder="0" applyProtection="0">
      <alignment vertical="top"/>
    </xf>
    <xf numFmtId="0" fontId="4" fillId="14" borderId="0" applyNumberFormat="0" applyBorder="0" applyProtection="0">
      <alignment vertical="top"/>
    </xf>
    <xf numFmtId="0" fontId="4" fillId="15" borderId="0" applyNumberFormat="0" applyBorder="0" applyProtection="0">
      <alignment vertical="top"/>
    </xf>
    <xf numFmtId="0" fontId="4" fillId="16" borderId="0" applyNumberFormat="0" applyBorder="0" applyProtection="0">
      <alignment vertical="top"/>
    </xf>
    <xf numFmtId="0" fontId="4" fillId="17" borderId="0" applyNumberFormat="0" applyBorder="0" applyProtection="0">
      <alignment vertical="top"/>
    </xf>
    <xf numFmtId="0" fontId="4" fillId="18" borderId="0" applyNumberFormat="0" applyBorder="0" applyProtection="0">
      <alignment vertical="top"/>
    </xf>
    <xf numFmtId="0" fontId="4" fillId="13" borderId="0" applyNumberFormat="0" applyBorder="0" applyProtection="0">
      <alignment vertical="top"/>
    </xf>
    <xf numFmtId="0" fontId="4" fillId="14" borderId="0" applyNumberFormat="0" applyBorder="0" applyProtection="0">
      <alignment vertical="top"/>
    </xf>
    <xf numFmtId="0" fontId="4" fillId="19" borderId="0" applyNumberFormat="0" applyBorder="0" applyProtection="0">
      <alignment vertical="top"/>
    </xf>
    <xf numFmtId="0" fontId="5" fillId="7" borderId="1" applyNumberFormat="0" applyProtection="0">
      <alignment vertical="top"/>
    </xf>
    <xf numFmtId="0" fontId="6" fillId="20" borderId="2" applyNumberFormat="0" applyProtection="0">
      <alignment vertical="top"/>
    </xf>
    <xf numFmtId="0" fontId="7" fillId="20" borderId="1" applyNumberFormat="0" applyProtection="0">
      <alignment vertical="top"/>
    </xf>
    <xf numFmtId="0" fontId="8" fillId="0" borderId="3" applyNumberFormat="0" applyFill="0" applyProtection="0">
      <alignment vertical="top"/>
    </xf>
    <xf numFmtId="0" fontId="9" fillId="0" borderId="4" applyNumberFormat="0" applyFill="0" applyProtection="0">
      <alignment vertical="top"/>
    </xf>
    <xf numFmtId="0" fontId="10" fillId="0" borderId="5" applyNumberFormat="0" applyFill="0" applyProtection="0">
      <alignment vertical="top"/>
    </xf>
    <xf numFmtId="0" fontId="10" fillId="0" borderId="0" applyNumberFormat="0" applyFill="0" applyBorder="0" applyProtection="0">
      <alignment vertical="top"/>
    </xf>
    <xf numFmtId="0" fontId="11" fillId="0" borderId="6" applyNumberFormat="0" applyFill="0" applyProtection="0">
      <alignment vertical="top"/>
    </xf>
    <xf numFmtId="0" fontId="12" fillId="21" borderId="7" applyNumberFormat="0" applyProtection="0">
      <alignment vertical="top"/>
    </xf>
    <xf numFmtId="0" fontId="13" fillId="0" borderId="0" applyNumberFormat="0" applyFill="0" applyBorder="0" applyProtection="0">
      <alignment vertical="top"/>
    </xf>
    <xf numFmtId="0" fontId="14" fillId="22" borderId="0" applyNumberFormat="0" applyBorder="0" applyProtection="0">
      <alignment vertical="top"/>
    </xf>
    <xf numFmtId="0" fontId="15" fillId="3" borderId="0" applyNumberFormat="0" applyBorder="0" applyProtection="0">
      <alignment vertical="top"/>
    </xf>
    <xf numFmtId="0" fontId="16" fillId="0" borderId="0" applyNumberFormat="0" applyFill="0" applyBorder="0" applyProtection="0">
      <alignment vertical="top"/>
    </xf>
    <xf numFmtId="0" fontId="22" fillId="23" borderId="8" applyNumberFormat="0" applyProtection="0">
      <alignment vertical="top"/>
    </xf>
    <xf numFmtId="9" fontId="22" fillId="0" borderId="0" applyFill="0" applyBorder="0" applyProtection="0">
      <alignment vertical="top"/>
    </xf>
    <xf numFmtId="0" fontId="17" fillId="0" borderId="9" applyNumberFormat="0" applyFill="0" applyProtection="0">
      <alignment vertical="top"/>
    </xf>
    <xf numFmtId="0" fontId="18" fillId="0" borderId="0" applyNumberFormat="0" applyFill="0" applyBorder="0" applyProtection="0">
      <alignment vertical="top"/>
    </xf>
    <xf numFmtId="0" fontId="19" fillId="4" borderId="0" applyNumberFormat="0" applyBorder="0" applyProtection="0">
      <alignment vertical="top"/>
    </xf>
  </cellStyleXfs>
  <cellXfs count="84">
    <xf numFmtId="0" fontId="0" fillId="0" borderId="0" xfId="0">
      <alignment vertical="top"/>
    </xf>
    <xf numFmtId="0" fontId="20" fillId="0" borderId="0" xfId="0" applyFont="1" applyFill="1" applyAlignment="1"/>
    <xf numFmtId="0" fontId="20" fillId="0" borderId="0" xfId="0" applyFont="1" applyFill="1" applyBorder="1" applyAlignment="1"/>
    <xf numFmtId="0" fontId="21" fillId="0" borderId="0" xfId="0" applyFont="1" applyFill="1" applyAlignment="1"/>
    <xf numFmtId="3" fontId="20" fillId="0" borderId="0" xfId="0" applyNumberFormat="1" applyFont="1" applyFill="1" applyAlignment="1"/>
    <xf numFmtId="0" fontId="20" fillId="0" borderId="0" xfId="0" applyFont="1" applyFill="1" applyAlignment="1">
      <alignment horizontal="center" vertical="top" wrapText="1"/>
    </xf>
    <xf numFmtId="0" fontId="20" fillId="0" borderId="0" xfId="0" applyFont="1" applyFill="1" applyAlignment="1">
      <alignment horizontal="left" vertical="top" wrapText="1" indent="1"/>
    </xf>
    <xf numFmtId="0" fontId="24" fillId="0" borderId="0" xfId="0" applyFont="1" applyFill="1" applyAlignment="1"/>
    <xf numFmtId="0" fontId="23" fillId="0" borderId="0" xfId="0" applyFont="1" applyFill="1" applyAlignment="1"/>
    <xf numFmtId="0" fontId="23" fillId="0" borderId="0" xfId="0" applyFont="1" applyFill="1" applyBorder="1" applyAlignment="1"/>
    <xf numFmtId="0" fontId="20" fillId="0" borderId="0" xfId="0" applyFont="1" applyFill="1" applyAlignment="1">
      <alignment horizontal="center" vertical="center"/>
    </xf>
    <xf numFmtId="0" fontId="27" fillId="0" borderId="0" xfId="0" applyFont="1" applyFill="1" applyBorder="1" applyAlignment="1">
      <alignment horizontal="left" vertical="center"/>
    </xf>
    <xf numFmtId="0" fontId="28" fillId="0" borderId="0" xfId="0" applyFont="1" applyFill="1" applyBorder="1" applyAlignment="1"/>
    <xf numFmtId="0" fontId="29" fillId="0" borderId="0" xfId="0" applyFont="1" applyFill="1" applyBorder="1" applyAlignment="1">
      <alignment horizontal="left" vertical="center"/>
    </xf>
    <xf numFmtId="0" fontId="29" fillId="0" borderId="0" xfId="0" applyFont="1" applyFill="1" applyBorder="1" applyAlignment="1">
      <alignment horizontal="center" vertical="top" wrapText="1"/>
    </xf>
    <xf numFmtId="3" fontId="30" fillId="0" borderId="0" xfId="0" applyNumberFormat="1" applyFont="1" applyFill="1" applyBorder="1" applyAlignment="1">
      <alignment horizontal="center" vertical="top" wrapText="1"/>
    </xf>
    <xf numFmtId="0" fontId="30" fillId="0" borderId="0" xfId="0" applyFont="1" applyFill="1" applyAlignment="1"/>
    <xf numFmtId="0" fontId="29" fillId="0" borderId="0" xfId="0" applyFont="1" applyFill="1" applyBorder="1" applyAlignment="1">
      <alignment horizontal="right" vertical="center"/>
    </xf>
    <xf numFmtId="0" fontId="30" fillId="0" borderId="0" xfId="0" applyFont="1" applyFill="1" applyAlignment="1">
      <alignment horizontal="center" vertical="top" wrapText="1"/>
    </xf>
    <xf numFmtId="0" fontId="28" fillId="0" borderId="0" xfId="0" applyFont="1" applyFill="1" applyBorder="1" applyAlignment="1">
      <alignment horizontal="left"/>
    </xf>
    <xf numFmtId="0" fontId="21" fillId="0" borderId="11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/>
    <xf numFmtId="0" fontId="21" fillId="0" borderId="19" xfId="0" applyFont="1" applyFill="1" applyBorder="1" applyAlignment="1">
      <alignment horizontal="left" vertical="center" wrapText="1"/>
    </xf>
    <xf numFmtId="0" fontId="21" fillId="0" borderId="15" xfId="0" applyFont="1" applyFill="1" applyBorder="1" applyAlignment="1">
      <alignment horizontal="left" vertical="center" wrapText="1"/>
    </xf>
    <xf numFmtId="0" fontId="21" fillId="24" borderId="15" xfId="0" applyFont="1" applyFill="1" applyBorder="1" applyAlignment="1">
      <alignment horizontal="left" vertical="center" wrapText="1"/>
    </xf>
    <xf numFmtId="2" fontId="21" fillId="0" borderId="15" xfId="0" applyNumberFormat="1" applyFont="1" applyFill="1" applyBorder="1" applyAlignment="1">
      <alignment horizontal="left" vertical="center" wrapText="1" indent="1"/>
    </xf>
    <xf numFmtId="0" fontId="21" fillId="25" borderId="15" xfId="0" applyFont="1" applyFill="1" applyBorder="1" applyAlignment="1">
      <alignment horizontal="left" vertical="center" wrapText="1" indent="1"/>
    </xf>
    <xf numFmtId="0" fontId="20" fillId="0" borderId="15" xfId="0" applyFont="1" applyFill="1" applyBorder="1" applyAlignment="1">
      <alignment horizontal="left" vertical="center" wrapText="1" indent="2"/>
    </xf>
    <xf numFmtId="0" fontId="21" fillId="24" borderId="15" xfId="0" applyFont="1" applyFill="1" applyBorder="1" applyAlignment="1">
      <alignment horizontal="left" vertical="center" wrapText="1" indent="1"/>
    </xf>
    <xf numFmtId="0" fontId="21" fillId="25" borderId="15" xfId="0" applyFont="1" applyFill="1" applyBorder="1" applyAlignment="1">
      <alignment horizontal="left" vertical="center" wrapText="1" indent="2"/>
    </xf>
    <xf numFmtId="0" fontId="20" fillId="0" borderId="15" xfId="0" applyFont="1" applyFill="1" applyBorder="1" applyAlignment="1">
      <alignment horizontal="left" vertical="center" wrapText="1" indent="3"/>
    </xf>
    <xf numFmtId="0" fontId="21" fillId="0" borderId="12" xfId="0" applyFont="1" applyFill="1" applyBorder="1" applyAlignment="1" applyProtection="1">
      <alignment horizontal="center" vertical="center" wrapText="1"/>
      <protection locked="0"/>
    </xf>
    <xf numFmtId="0" fontId="20" fillId="0" borderId="18" xfId="0" applyFont="1" applyFill="1" applyBorder="1" applyAlignment="1"/>
    <xf numFmtId="0" fontId="20" fillId="0" borderId="20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1" fillId="24" borderId="16" xfId="0" applyFont="1" applyFill="1" applyBorder="1" applyAlignment="1">
      <alignment horizontal="center" vertical="center" wrapText="1"/>
    </xf>
    <xf numFmtId="0" fontId="20" fillId="25" borderId="16" xfId="0" applyFont="1" applyFill="1" applyBorder="1" applyAlignment="1">
      <alignment horizontal="center" vertical="center" wrapText="1"/>
    </xf>
    <xf numFmtId="0" fontId="21" fillId="25" borderId="16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 applyProtection="1">
      <alignment horizontal="center" vertical="center" wrapText="1"/>
      <protection locked="0"/>
    </xf>
    <xf numFmtId="49" fontId="20" fillId="0" borderId="21" xfId="0" applyNumberFormat="1" applyFont="1" applyFill="1" applyBorder="1" applyAlignment="1">
      <alignment horizontal="center" vertical="center"/>
    </xf>
    <xf numFmtId="3" fontId="20" fillId="25" borderId="10" xfId="0" applyNumberFormat="1" applyFont="1" applyFill="1" applyBorder="1" applyAlignment="1"/>
    <xf numFmtId="3" fontId="20" fillId="0" borderId="10" xfId="0" applyNumberFormat="1" applyFont="1" applyFill="1" applyBorder="1" applyAlignment="1"/>
    <xf numFmtId="0" fontId="21" fillId="0" borderId="14" xfId="0" applyFont="1" applyFill="1" applyBorder="1" applyAlignment="1" applyProtection="1">
      <alignment horizontal="center" vertical="center" wrapText="1"/>
      <protection locked="0"/>
    </xf>
    <xf numFmtId="49" fontId="20" fillId="0" borderId="22" xfId="0" applyNumberFormat="1" applyFont="1" applyFill="1" applyBorder="1" applyAlignment="1">
      <alignment horizontal="center" vertical="center"/>
    </xf>
    <xf numFmtId="0" fontId="21" fillId="0" borderId="11" xfId="0" applyFont="1" applyFill="1" applyBorder="1" applyAlignment="1" applyProtection="1">
      <alignment horizontal="center" vertical="center" wrapText="1"/>
      <protection locked="0"/>
    </xf>
    <xf numFmtId="49" fontId="20" fillId="0" borderId="17" xfId="0" applyNumberFormat="1" applyFont="1" applyFill="1" applyBorder="1" applyAlignment="1">
      <alignment horizontal="center" vertical="center"/>
    </xf>
    <xf numFmtId="3" fontId="20" fillId="0" borderId="19" xfId="0" applyNumberFormat="1" applyFont="1" applyFill="1" applyBorder="1" applyAlignment="1"/>
    <xf numFmtId="3" fontId="20" fillId="0" borderId="15" xfId="0" applyNumberFormat="1" applyFont="1" applyFill="1" applyBorder="1" applyAlignment="1"/>
    <xf numFmtId="3" fontId="21" fillId="24" borderId="15" xfId="0" applyNumberFormat="1" applyFont="1" applyFill="1" applyBorder="1" applyAlignment="1"/>
    <xf numFmtId="3" fontId="20" fillId="25" borderId="15" xfId="0" applyNumberFormat="1" applyFont="1" applyFill="1" applyBorder="1" applyAlignment="1"/>
    <xf numFmtId="3" fontId="21" fillId="25" borderId="15" xfId="0" applyNumberFormat="1" applyFont="1" applyFill="1" applyBorder="1" applyAlignment="1"/>
    <xf numFmtId="0" fontId="31" fillId="0" borderId="0" xfId="0" applyFont="1" applyFill="1" applyBorder="1" applyAlignment="1">
      <alignment horizontal="left" vertical="center"/>
    </xf>
    <xf numFmtId="0" fontId="32" fillId="0" borderId="10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left" vertical="center" wrapText="1"/>
    </xf>
    <xf numFmtId="4" fontId="20" fillId="0" borderId="10" xfId="0" applyNumberFormat="1" applyFont="1" applyFill="1" applyBorder="1" applyAlignment="1"/>
    <xf numFmtId="2" fontId="21" fillId="0" borderId="10" xfId="0" applyNumberFormat="1" applyFont="1" applyFill="1" applyBorder="1" applyAlignment="1">
      <alignment horizontal="left" vertical="center" wrapText="1" indent="1"/>
    </xf>
    <xf numFmtId="0" fontId="21" fillId="0" borderId="10" xfId="0" applyFont="1" applyFill="1" applyBorder="1" applyAlignment="1">
      <alignment horizontal="left" vertical="center" wrapText="1" indent="1"/>
    </xf>
    <xf numFmtId="0" fontId="20" fillId="0" borderId="10" xfId="0" applyFont="1" applyFill="1" applyBorder="1" applyAlignment="1">
      <alignment horizontal="left" vertical="center" wrapText="1" indent="2"/>
    </xf>
    <xf numFmtId="4" fontId="21" fillId="0" borderId="10" xfId="0" applyNumberFormat="1" applyFont="1" applyFill="1" applyBorder="1" applyAlignment="1"/>
    <xf numFmtId="0" fontId="21" fillId="0" borderId="10" xfId="0" applyFont="1" applyFill="1" applyBorder="1" applyAlignment="1">
      <alignment horizontal="left" vertical="center" wrapText="1" indent="2"/>
    </xf>
    <xf numFmtId="0" fontId="20" fillId="0" borderId="10" xfId="0" applyFont="1" applyFill="1" applyBorder="1" applyAlignment="1">
      <alignment horizontal="left" vertical="center" wrapText="1" indent="3"/>
    </xf>
    <xf numFmtId="0" fontId="20" fillId="0" borderId="10" xfId="0" applyFont="1" applyFill="1" applyBorder="1" applyAlignment="1">
      <alignment horizontal="center" vertical="center" wrapText="1"/>
    </xf>
    <xf numFmtId="0" fontId="31" fillId="0" borderId="0" xfId="0" applyFont="1" applyFill="1" applyBorder="1" applyAlignment="1">
      <alignment horizontal="right" vertical="center"/>
    </xf>
    <xf numFmtId="3" fontId="31" fillId="0" borderId="0" xfId="0" applyNumberFormat="1" applyFont="1" applyFill="1" applyBorder="1" applyAlignment="1"/>
    <xf numFmtId="3" fontId="20" fillId="24" borderId="10" xfId="0" applyNumberFormat="1" applyFont="1" applyFill="1" applyBorder="1" applyAlignment="1"/>
    <xf numFmtId="0" fontId="20" fillId="0" borderId="10" xfId="0" applyFont="1" applyFill="1" applyBorder="1" applyAlignment="1">
      <alignment horizontal="left" vertical="center" wrapText="1" indent="1"/>
    </xf>
    <xf numFmtId="2" fontId="21" fillId="0" borderId="10" xfId="0" applyNumberFormat="1" applyFont="1" applyFill="1" applyBorder="1" applyAlignment="1">
      <alignment horizontal="left" vertical="center" wrapText="1"/>
    </xf>
    <xf numFmtId="0" fontId="31" fillId="0" borderId="0" xfId="0" applyNumberFormat="1" applyFont="1" applyFill="1" applyBorder="1" applyAlignment="1"/>
    <xf numFmtId="0" fontId="33" fillId="0" borderId="0" xfId="0" applyFont="1" applyFill="1" applyBorder="1" applyAlignment="1">
      <alignment horizontal="center" vertical="top" wrapText="1"/>
    </xf>
    <xf numFmtId="4" fontId="20" fillId="0" borderId="0" xfId="0" applyNumberFormat="1" applyFont="1" applyFill="1" applyAlignment="1"/>
    <xf numFmtId="49" fontId="31" fillId="0" borderId="0" xfId="0" applyNumberFormat="1" applyFont="1" applyFill="1" applyBorder="1" applyAlignment="1"/>
    <xf numFmtId="0" fontId="20" fillId="0" borderId="0" xfId="0" applyFont="1" applyFill="1" applyAlignment="1">
      <alignment horizontal="right"/>
    </xf>
    <xf numFmtId="0" fontId="21" fillId="0" borderId="23" xfId="0" applyFont="1" applyFill="1" applyBorder="1" applyAlignment="1">
      <alignment horizontal="left" vertical="center" wrapText="1"/>
    </xf>
    <xf numFmtId="2" fontId="21" fillId="0" borderId="23" xfId="0" applyNumberFormat="1" applyFont="1" applyFill="1" applyBorder="1" applyAlignment="1">
      <alignment horizontal="left" vertical="center" wrapText="1" indent="1"/>
    </xf>
    <xf numFmtId="0" fontId="21" fillId="0" borderId="23" xfId="0" applyFont="1" applyFill="1" applyBorder="1" applyAlignment="1">
      <alignment horizontal="left" vertical="center" wrapText="1" indent="1"/>
    </xf>
    <xf numFmtId="0" fontId="20" fillId="0" borderId="23" xfId="0" applyFont="1" applyFill="1" applyBorder="1" applyAlignment="1">
      <alignment horizontal="left" vertical="center" wrapText="1" indent="1"/>
    </xf>
    <xf numFmtId="0" fontId="20" fillId="0" borderId="23" xfId="0" applyFont="1" applyFill="1" applyBorder="1" applyAlignment="1">
      <alignment horizontal="left" vertical="center" wrapText="1" indent="2"/>
    </xf>
    <xf numFmtId="0" fontId="21" fillId="0" borderId="23" xfId="0" applyFont="1" applyFill="1" applyBorder="1" applyAlignment="1">
      <alignment horizontal="left" vertical="center" wrapText="1" indent="2"/>
    </xf>
    <xf numFmtId="0" fontId="20" fillId="0" borderId="23" xfId="0" applyFont="1" applyFill="1" applyBorder="1" applyAlignment="1">
      <alignment horizontal="left" vertical="center" wrapText="1" indent="3"/>
    </xf>
    <xf numFmtId="4" fontId="20" fillId="0" borderId="10" xfId="0" applyNumberFormat="1" applyFont="1" applyBorder="1" applyAlignment="1" applyProtection="1">
      <alignment wrapText="1"/>
      <protection locked="0"/>
    </xf>
    <xf numFmtId="4" fontId="21" fillId="0" borderId="10" xfId="0" applyNumberFormat="1" applyFont="1" applyFill="1" applyBorder="1" applyAlignment="1" applyProtection="1"/>
    <xf numFmtId="0" fontId="1" fillId="0" borderId="0" xfId="0" applyFont="1" applyFill="1" applyAlignment="1"/>
    <xf numFmtId="3" fontId="20" fillId="26" borderId="10" xfId="0" applyNumberFormat="1" applyFont="1" applyFill="1" applyBorder="1" applyAlignment="1"/>
  </cellXfs>
  <cellStyles count="88">
    <cellStyle name="20% — акцент1" xfId="1" builtinId="30" customBuiltin="1"/>
    <cellStyle name="20% - Акцент1 2" xfId="46"/>
    <cellStyle name="20% — акцент2" xfId="2" builtinId="34" customBuiltin="1"/>
    <cellStyle name="20% - Акцент2 2" xfId="47"/>
    <cellStyle name="20% — акцент3" xfId="3" builtinId="38" customBuiltin="1"/>
    <cellStyle name="20% - Акцент3 2" xfId="48"/>
    <cellStyle name="20% — акцент4" xfId="4" builtinId="42" customBuiltin="1"/>
    <cellStyle name="20% - Акцент4 2" xfId="49"/>
    <cellStyle name="20% — акцент5" xfId="5" builtinId="46" customBuiltin="1"/>
    <cellStyle name="20% - Акцент5 2" xfId="50"/>
    <cellStyle name="20% — акцент6" xfId="6" builtinId="50" customBuiltin="1"/>
    <cellStyle name="20% - Акцент6 2" xfId="51"/>
    <cellStyle name="40% — акцент1" xfId="7" builtinId="31" customBuiltin="1"/>
    <cellStyle name="40% - Акцент1 2" xfId="52"/>
    <cellStyle name="40% — акцент2" xfId="8" builtinId="35" customBuiltin="1"/>
    <cellStyle name="40% - Акцент2 2" xfId="53"/>
    <cellStyle name="40% — акцент3" xfId="9" builtinId="39" customBuiltin="1"/>
    <cellStyle name="40% - Акцент3 2" xfId="54"/>
    <cellStyle name="40% — акцент4" xfId="10" builtinId="43" customBuiltin="1"/>
    <cellStyle name="40% - Акцент4 2" xfId="55"/>
    <cellStyle name="40% — акцент5" xfId="11" builtinId="47" customBuiltin="1"/>
    <cellStyle name="40% - Акцент5 2" xfId="56"/>
    <cellStyle name="40% — акцент6" xfId="12" builtinId="51" customBuiltin="1"/>
    <cellStyle name="40% - Акцент6 2" xfId="57"/>
    <cellStyle name="60% — акцент1" xfId="13" builtinId="32" customBuiltin="1"/>
    <cellStyle name="60% - Акцент1 2" xfId="58"/>
    <cellStyle name="60% — акцент2" xfId="14" builtinId="36" customBuiltin="1"/>
    <cellStyle name="60% - Акцент2 2" xfId="59"/>
    <cellStyle name="60% — акцент3" xfId="15" builtinId="40" customBuiltin="1"/>
    <cellStyle name="60% - Акцент3 2" xfId="60"/>
    <cellStyle name="60% — акцент4" xfId="16" builtinId="44" customBuiltin="1"/>
    <cellStyle name="60% - Акцент4 2" xfId="61"/>
    <cellStyle name="60% — акцент5" xfId="17" builtinId="48" customBuiltin="1"/>
    <cellStyle name="60% - Акцент5 2" xfId="62"/>
    <cellStyle name="60% — акцент6" xfId="18" builtinId="52" customBuiltin="1"/>
    <cellStyle name="60% - Акцент6 2" xfId="63"/>
    <cellStyle name="Акцент1" xfId="19" builtinId="29" customBuiltin="1"/>
    <cellStyle name="Акцент1 2" xfId="64"/>
    <cellStyle name="Акцент2" xfId="20" builtinId="33" customBuiltin="1"/>
    <cellStyle name="Акцент2 2" xfId="65"/>
    <cellStyle name="Акцент3" xfId="21" builtinId="37" customBuiltin="1"/>
    <cellStyle name="Акцент3 2" xfId="66"/>
    <cellStyle name="Акцент4" xfId="22" builtinId="41" customBuiltin="1"/>
    <cellStyle name="Акцент4 2" xfId="67"/>
    <cellStyle name="Акцент5" xfId="23" builtinId="45" customBuiltin="1"/>
    <cellStyle name="Акцент5 2" xfId="68"/>
    <cellStyle name="Акцент6" xfId="24" builtinId="49" customBuiltin="1"/>
    <cellStyle name="Акцент6 2" xfId="69"/>
    <cellStyle name="Ввод " xfId="25" builtinId="20" customBuiltin="1"/>
    <cellStyle name="Ввод  2" xfId="70"/>
    <cellStyle name="Вывод" xfId="26" builtinId="21" customBuiltin="1"/>
    <cellStyle name="Вывод 2" xfId="71"/>
    <cellStyle name="Вычисление" xfId="27" builtinId="22" customBuiltin="1"/>
    <cellStyle name="Вычисление 2" xfId="72"/>
    <cellStyle name="Заголовок 1" xfId="28" builtinId="16" customBuiltin="1"/>
    <cellStyle name="Заголовок 1 2" xfId="73"/>
    <cellStyle name="Заголовок 2" xfId="29" builtinId="17" customBuiltin="1"/>
    <cellStyle name="Заголовок 2 2" xfId="74"/>
    <cellStyle name="Заголовок 3" xfId="30" builtinId="18" customBuiltin="1"/>
    <cellStyle name="Заголовок 3 2" xfId="75"/>
    <cellStyle name="Заголовок 4" xfId="31" builtinId="19" customBuiltin="1"/>
    <cellStyle name="Заголовок 4 2" xfId="76"/>
    <cellStyle name="Итог" xfId="32" builtinId="25" customBuiltin="1"/>
    <cellStyle name="Итог 2" xfId="77"/>
    <cellStyle name="Контрольная ячейка" xfId="33" builtinId="23" customBuiltin="1"/>
    <cellStyle name="Контрольная ячейка 2" xfId="78"/>
    <cellStyle name="Название" xfId="34" builtinId="15" customBuiltin="1"/>
    <cellStyle name="Название 2" xfId="79"/>
    <cellStyle name="Нейтральный" xfId="35" builtinId="28" customBuiltin="1"/>
    <cellStyle name="Нейтральный 2" xfId="80"/>
    <cellStyle name="Обычный" xfId="0" builtinId="0"/>
    <cellStyle name="Обычный 2" xfId="36"/>
    <cellStyle name="Обычный 3" xfId="43"/>
    <cellStyle name="Обычный 4" xfId="45"/>
    <cellStyle name="Обычный 5" xfId="44"/>
    <cellStyle name="Плохой" xfId="37" builtinId="27" customBuiltin="1"/>
    <cellStyle name="Плохой 2" xfId="81"/>
    <cellStyle name="Пояснение" xfId="38" builtinId="53" customBuiltin="1"/>
    <cellStyle name="Пояснение 2" xfId="82"/>
    <cellStyle name="Примечание" xfId="39" builtinId="10" customBuiltin="1"/>
    <cellStyle name="Примечание 2" xfId="83"/>
    <cellStyle name="Процентный 2" xfId="84"/>
    <cellStyle name="Связанная ячейка" xfId="40" builtinId="24" customBuiltin="1"/>
    <cellStyle name="Связанная ячейка 2" xfId="85"/>
    <cellStyle name="Текст предупреждения" xfId="41" builtinId="11" customBuiltin="1"/>
    <cellStyle name="Текст предупреждения 2" xfId="86"/>
    <cellStyle name="Хороший" xfId="42" builtinId="26" customBuiltin="1"/>
    <cellStyle name="Хороший 2" xfId="87"/>
  </cellStyles>
  <dxfs count="16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FBD3C1"/>
      <rgbColor rgb="00FFFF00"/>
      <rgbColor rgb="00FF00FF"/>
      <rgbColor rgb="00C5D6A4"/>
      <rgbColor rgb="00CC0000"/>
      <rgbColor rgb="00008000"/>
      <rgbColor rgb="00F1F091"/>
      <rgbColor rgb="00CF7C38"/>
      <rgbColor rgb="00800080"/>
      <rgbColor rgb="003A86AA"/>
      <rgbColor rgb="00C0C0C0"/>
      <rgbColor rgb="0080817A"/>
      <rgbColor rgb="00B3A2C7"/>
      <rgbColor rgb="00B54943"/>
      <rgbColor rgb="00FFFFCC"/>
      <rgbColor rgb="00CCFFFF"/>
      <rgbColor rgb="00FFC000"/>
      <rgbColor rgb="00FF8080"/>
      <rgbColor rgb="000066CC"/>
      <rgbColor rgb="00CBCCFE"/>
      <rgbColor rgb="00F1F002"/>
      <rgbColor rgb="00F191C0"/>
      <rgbColor rgb="00FFF200"/>
      <rgbColor rgb="00B5B5B5"/>
      <rgbColor rgb="00D9A3A2"/>
      <rgbColor rgb="00F8A977"/>
      <rgbColor rgb="00AABAD7"/>
      <rgbColor rgb="00FCD9C9"/>
      <rgbColor rgb="004BACC6"/>
      <rgbColor rgb="00F1F0F0"/>
      <rgbColor rgb="00CCFFCC"/>
      <rgbColor rgb="00FFFF99"/>
      <rgbColor rgb="0099CCFF"/>
      <rgbColor rgb="00FF99CC"/>
      <rgbColor rgb="00CC99FF"/>
      <rgbColor rgb="00FFCC99"/>
      <rgbColor rgb="0040699C"/>
      <rgbColor rgb="0033CCCC"/>
      <rgbColor rgb="0098C656"/>
      <rgbColor rgb="00FFCC00"/>
      <rgbColor rgb="00FF9900"/>
      <rgbColor rgb="00FF6600"/>
      <rgbColor rgb="00785E98"/>
      <rgbColor rgb="00969696"/>
      <rgbColor rgb="00003366"/>
      <rgbColor rgb="00249B64"/>
      <rgbColor rgb="00FACCB5"/>
      <rgbColor rgb="001F1C1B"/>
      <rgbColor rgb="00993300"/>
      <rgbColor rgb="00F69445"/>
      <rgbColor rgb="00333399"/>
      <rgbColor rgb="00333333"/>
    </indexed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1771650</xdr:colOff>
          <xdr:row>38</xdr:row>
          <xdr:rowOff>19050</xdr:rowOff>
        </xdr:from>
        <xdr:to>
          <xdr:col>3</xdr:col>
          <xdr:colOff>0</xdr:colOff>
          <xdr:row>43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2095500</xdr:colOff>
          <xdr:row>37</xdr:row>
          <xdr:rowOff>123825</xdr:rowOff>
        </xdr:from>
        <xdr:to>
          <xdr:col>3</xdr:col>
          <xdr:colOff>0</xdr:colOff>
          <xdr:row>42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1724025</xdr:colOff>
          <xdr:row>39</xdr:row>
          <xdr:rowOff>133350</xdr:rowOff>
        </xdr:from>
        <xdr:to>
          <xdr:col>2</xdr:col>
          <xdr:colOff>819150</xdr:colOff>
          <xdr:row>44</xdr:row>
          <xdr:rowOff>114300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1628775</xdr:colOff>
          <xdr:row>39</xdr:row>
          <xdr:rowOff>9525</xdr:rowOff>
        </xdr:from>
        <xdr:to>
          <xdr:col>3</xdr:col>
          <xdr:colOff>9525</xdr:colOff>
          <xdr:row>43</xdr:row>
          <xdr:rowOff>123825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1676400</xdr:colOff>
          <xdr:row>39</xdr:row>
          <xdr:rowOff>19050</xdr:rowOff>
        </xdr:from>
        <xdr:to>
          <xdr:col>2</xdr:col>
          <xdr:colOff>800100</xdr:colOff>
          <xdr:row>44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1657350</xdr:colOff>
          <xdr:row>39</xdr:row>
          <xdr:rowOff>0</xdr:rowOff>
        </xdr:from>
        <xdr:to>
          <xdr:col>2</xdr:col>
          <xdr:colOff>838200</xdr:colOff>
          <xdr:row>43</xdr:row>
          <xdr:rowOff>123825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1714500</xdr:colOff>
          <xdr:row>38</xdr:row>
          <xdr:rowOff>19050</xdr:rowOff>
        </xdr:from>
        <xdr:to>
          <xdr:col>3</xdr:col>
          <xdr:colOff>0</xdr:colOff>
          <xdr:row>43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38</xdr:row>
          <xdr:rowOff>0</xdr:rowOff>
        </xdr:from>
        <xdr:to>
          <xdr:col>3</xdr:col>
          <xdr:colOff>0</xdr:colOff>
          <xdr:row>43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1695450</xdr:colOff>
          <xdr:row>38</xdr:row>
          <xdr:rowOff>9525</xdr:rowOff>
        </xdr:from>
        <xdr:to>
          <xdr:col>2</xdr:col>
          <xdr:colOff>876300</xdr:colOff>
          <xdr:row>43</xdr:row>
          <xdr:rowOff>9525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38</xdr:row>
          <xdr:rowOff>123825</xdr:rowOff>
        </xdr:from>
        <xdr:to>
          <xdr:col>3</xdr:col>
          <xdr:colOff>9525</xdr:colOff>
          <xdr:row>43</xdr:row>
          <xdr:rowOff>123825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38</xdr:row>
          <xdr:rowOff>123825</xdr:rowOff>
        </xdr:from>
        <xdr:to>
          <xdr:col>2</xdr:col>
          <xdr:colOff>819150</xdr:colOff>
          <xdr:row>43</xdr:row>
          <xdr:rowOff>123825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1543050</xdr:colOff>
          <xdr:row>38</xdr:row>
          <xdr:rowOff>123825</xdr:rowOff>
        </xdr:from>
        <xdr:to>
          <xdr:col>2</xdr:col>
          <xdr:colOff>0</xdr:colOff>
          <xdr:row>43</xdr:row>
          <xdr:rowOff>123825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39</xdr:row>
          <xdr:rowOff>19050</xdr:rowOff>
        </xdr:from>
        <xdr:to>
          <xdr:col>3</xdr:col>
          <xdr:colOff>0</xdr:colOff>
          <xdr:row>44</xdr:row>
          <xdr:rowOff>19050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1781175</xdr:colOff>
          <xdr:row>39</xdr:row>
          <xdr:rowOff>0</xdr:rowOff>
        </xdr:from>
        <xdr:to>
          <xdr:col>2</xdr:col>
          <xdr:colOff>1171575</xdr:colOff>
          <xdr:row>44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S38"/>
  <sheetViews>
    <sheetView zoomScale="130" zoomScaleNormal="130" workbookViewId="0">
      <selection activeCell="I9" sqref="I9"/>
    </sheetView>
  </sheetViews>
  <sheetFormatPr defaultColWidth="8.85546875" defaultRowHeight="12.75" x14ac:dyDescent="0.2"/>
  <cols>
    <col min="1" max="1" width="40.140625" style="1" customWidth="1"/>
    <col min="2" max="2" width="1.42578125" style="1" hidden="1" customWidth="1"/>
    <col min="3" max="9" width="11" style="1" customWidth="1"/>
    <col min="10" max="10" width="10.42578125" style="1" customWidth="1"/>
    <col min="11" max="11" width="11.7109375" style="1" customWidth="1"/>
    <col min="12" max="12" width="11" style="1" customWidth="1"/>
    <col min="13" max="22" width="10.5703125" style="1" customWidth="1"/>
    <col min="23" max="16384" width="8.85546875" style="1"/>
  </cols>
  <sheetData>
    <row r="1" spans="1:19" ht="18.75" x14ac:dyDescent="0.2">
      <c r="A1" s="11"/>
      <c r="B1" s="12"/>
      <c r="C1" s="12"/>
      <c r="D1" s="12"/>
      <c r="E1" s="12"/>
      <c r="F1" s="19"/>
      <c r="G1" s="12"/>
      <c r="H1" s="12"/>
      <c r="I1" s="12"/>
      <c r="J1" s="63" t="s">
        <v>94</v>
      </c>
      <c r="K1" s="63" t="s">
        <v>104</v>
      </c>
      <c r="L1" s="63"/>
    </row>
    <row r="2" spans="1:19" ht="18.75" thickBot="1" x14ac:dyDescent="0.25">
      <c r="A2" s="51" t="s">
        <v>34</v>
      </c>
      <c r="B2" s="12"/>
      <c r="C2" s="12"/>
      <c r="D2" s="12"/>
      <c r="E2" s="12"/>
      <c r="F2" s="19"/>
      <c r="G2" s="12"/>
      <c r="H2" s="12"/>
      <c r="I2" s="12"/>
      <c r="J2" s="12"/>
      <c r="K2" s="12"/>
      <c r="L2" s="12"/>
    </row>
    <row r="3" spans="1:19" s="10" customFormat="1" ht="38.25" x14ac:dyDescent="0.2">
      <c r="A3" s="20" t="s">
        <v>55</v>
      </c>
      <c r="B3" s="31" t="s">
        <v>35</v>
      </c>
      <c r="C3" s="38" t="s">
        <v>36</v>
      </c>
      <c r="D3" s="38" t="s">
        <v>72</v>
      </c>
      <c r="E3" s="38" t="s">
        <v>37</v>
      </c>
      <c r="F3" s="38" t="s">
        <v>38</v>
      </c>
      <c r="G3" s="38" t="s">
        <v>39</v>
      </c>
      <c r="H3" s="38" t="s">
        <v>40</v>
      </c>
      <c r="I3" s="38" t="s">
        <v>41</v>
      </c>
      <c r="J3" s="38" t="s">
        <v>42</v>
      </c>
      <c r="K3" s="42" t="s">
        <v>43</v>
      </c>
      <c r="L3" s="44" t="s">
        <v>44</v>
      </c>
    </row>
    <row r="4" spans="1:19" ht="13.5" thickBot="1" x14ac:dyDescent="0.25">
      <c r="A4" s="21"/>
      <c r="B4" s="32"/>
      <c r="C4" s="39">
        <v>1</v>
      </c>
      <c r="D4" s="39">
        <v>2</v>
      </c>
      <c r="E4" s="39">
        <v>3</v>
      </c>
      <c r="F4" s="39">
        <v>4</v>
      </c>
      <c r="G4" s="39">
        <v>5</v>
      </c>
      <c r="H4" s="39">
        <v>6</v>
      </c>
      <c r="I4" s="39">
        <v>7</v>
      </c>
      <c r="J4" s="39">
        <v>8</v>
      </c>
      <c r="K4" s="43">
        <v>9</v>
      </c>
      <c r="L4" s="45">
        <v>10</v>
      </c>
      <c r="N4" s="4"/>
      <c r="O4" s="4"/>
    </row>
    <row r="5" spans="1:19" x14ac:dyDescent="0.2">
      <c r="A5" s="22" t="s">
        <v>45</v>
      </c>
      <c r="B5" s="33">
        <v>2020</v>
      </c>
      <c r="C5" s="41">
        <f>Уголь!B3</f>
        <v>0</v>
      </c>
      <c r="D5" s="41"/>
      <c r="E5" s="41">
        <f>Нефтепродукты!B3</f>
        <v>0</v>
      </c>
      <c r="F5" s="41">
        <f>'Пр-й газ'!B3</f>
        <v>0</v>
      </c>
      <c r="G5" s="41">
        <f>ПТТ!B3</f>
        <v>0</v>
      </c>
      <c r="H5" s="41">
        <f>Электро!B4</f>
        <v>0</v>
      </c>
      <c r="I5" s="41"/>
      <c r="J5" s="41"/>
      <c r="K5" s="41"/>
      <c r="L5" s="46">
        <f t="shared" ref="L5:L15" si="0">SUM(C5:K5)</f>
        <v>0</v>
      </c>
      <c r="N5" s="4"/>
      <c r="O5" s="4"/>
    </row>
    <row r="6" spans="1:19" x14ac:dyDescent="0.2">
      <c r="A6" s="23" t="s">
        <v>0</v>
      </c>
      <c r="B6" s="34">
        <v>2020</v>
      </c>
      <c r="C6" s="41">
        <f>Уголь!B4</f>
        <v>0</v>
      </c>
      <c r="D6" s="41"/>
      <c r="E6" s="41">
        <f>Нефтепродукты!B4</f>
        <v>0</v>
      </c>
      <c r="F6" s="41">
        <f>'Пр-й газ'!B4</f>
        <v>0</v>
      </c>
      <c r="G6" s="41">
        <f>ПТТ!B4</f>
        <v>0</v>
      </c>
      <c r="H6" s="41"/>
      <c r="I6" s="41"/>
      <c r="J6" s="41">
        <f>Электро!B5</f>
        <v>0</v>
      </c>
      <c r="K6" s="41">
        <f>Тепло!B8</f>
        <v>0</v>
      </c>
      <c r="L6" s="47">
        <f t="shared" si="0"/>
        <v>0</v>
      </c>
      <c r="N6" s="4"/>
      <c r="O6" s="4"/>
    </row>
    <row r="7" spans="1:19" x14ac:dyDescent="0.2">
      <c r="A7" s="23" t="s">
        <v>1</v>
      </c>
      <c r="B7" s="34">
        <v>2020</v>
      </c>
      <c r="C7" s="41">
        <f>Уголь!B5</f>
        <v>0</v>
      </c>
      <c r="D7" s="41"/>
      <c r="E7" s="41">
        <f>Нефтепродукты!B5</f>
        <v>0</v>
      </c>
      <c r="F7" s="41">
        <f>'Пр-й газ'!B5</f>
        <v>0</v>
      </c>
      <c r="G7" s="41">
        <f>ПТТ!B5</f>
        <v>0</v>
      </c>
      <c r="H7" s="41"/>
      <c r="I7" s="41"/>
      <c r="J7" s="41">
        <f>-Электро!B6</f>
        <v>0</v>
      </c>
      <c r="K7" s="41">
        <f>Тепло!B9</f>
        <v>0</v>
      </c>
      <c r="L7" s="47">
        <f t="shared" si="0"/>
        <v>0</v>
      </c>
      <c r="O7" s="4"/>
    </row>
    <row r="8" spans="1:19" x14ac:dyDescent="0.2">
      <c r="A8" s="23" t="s">
        <v>2</v>
      </c>
      <c r="B8" s="34">
        <v>2020</v>
      </c>
      <c r="C8" s="41">
        <f>Уголь!B6</f>
        <v>0</v>
      </c>
      <c r="D8" s="41"/>
      <c r="E8" s="41">
        <f>Нефтепродукты!B6</f>
        <v>0</v>
      </c>
      <c r="F8" s="41">
        <f>'Пр-й газ'!B6</f>
        <v>0</v>
      </c>
      <c r="G8" s="41">
        <f>ПТТ!B6</f>
        <v>0</v>
      </c>
      <c r="H8" s="41"/>
      <c r="I8" s="41"/>
      <c r="J8" s="41">
        <f>Электро!B7</f>
        <v>0</v>
      </c>
      <c r="K8" s="41">
        <f>Тепло!B10</f>
        <v>0</v>
      </c>
      <c r="L8" s="47">
        <f t="shared" si="0"/>
        <v>0</v>
      </c>
      <c r="S8" s="41">
        <v>0</v>
      </c>
    </row>
    <row r="9" spans="1:19" x14ac:dyDescent="0.2">
      <c r="A9" s="24" t="s">
        <v>46</v>
      </c>
      <c r="B9" s="35">
        <v>2020</v>
      </c>
      <c r="C9" s="65">
        <f>Уголь!B7</f>
        <v>0</v>
      </c>
      <c r="D9" s="65"/>
      <c r="E9" s="65">
        <f>Нефтепродукты!B7</f>
        <v>0</v>
      </c>
      <c r="F9" s="65">
        <f>'Пр-й газ'!B7</f>
        <v>0</v>
      </c>
      <c r="G9" s="65">
        <f>ПТТ!B7</f>
        <v>0</v>
      </c>
      <c r="H9" s="65">
        <f>H5</f>
        <v>0</v>
      </c>
      <c r="I9" s="65"/>
      <c r="J9" s="65">
        <f>SUM(J5:J8)</f>
        <v>0</v>
      </c>
      <c r="K9" s="65">
        <f>SUM(K5:K8)</f>
        <v>0</v>
      </c>
      <c r="L9" s="48">
        <f>SUM(C9:K9)</f>
        <v>0</v>
      </c>
    </row>
    <row r="10" spans="1:19" x14ac:dyDescent="0.2">
      <c r="A10" s="25" t="s">
        <v>47</v>
      </c>
      <c r="B10" s="34">
        <v>2020</v>
      </c>
      <c r="C10" s="41">
        <f>Уголь!B8</f>
        <v>0</v>
      </c>
      <c r="D10" s="41"/>
      <c r="E10" s="41">
        <f>Нефтепродукты!B8</f>
        <v>0</v>
      </c>
      <c r="F10" s="41">
        <f>'Пр-й газ'!B8</f>
        <v>0</v>
      </c>
      <c r="G10" s="41">
        <f>ПТТ!B8</f>
        <v>0</v>
      </c>
      <c r="H10" s="41"/>
      <c r="I10" s="41"/>
      <c r="J10" s="41">
        <f>Электро!B9</f>
        <v>0</v>
      </c>
      <c r="K10" s="41">
        <f>Тепло!B12</f>
        <v>0</v>
      </c>
      <c r="L10" s="47">
        <f>SUM(C10:K10)</f>
        <v>0</v>
      </c>
      <c r="M10" s="4"/>
      <c r="N10" s="4"/>
      <c r="O10" s="4"/>
    </row>
    <row r="11" spans="1:19" x14ac:dyDescent="0.2">
      <c r="A11" s="26" t="s">
        <v>48</v>
      </c>
      <c r="B11" s="36">
        <v>2020</v>
      </c>
      <c r="C11" s="40">
        <f>-Уголь!B10</f>
        <v>0</v>
      </c>
      <c r="D11" s="40"/>
      <c r="E11" s="40">
        <f>-Нефтепродукты!B10</f>
        <v>0</v>
      </c>
      <c r="F11" s="40">
        <f>-'Пр-й газ'!B10</f>
        <v>0</v>
      </c>
      <c r="G11" s="40">
        <f>-ПТТ!C10</f>
        <v>0</v>
      </c>
      <c r="H11" s="40">
        <f>-H9</f>
        <v>0</v>
      </c>
      <c r="I11" s="40"/>
      <c r="J11" s="40">
        <f>Электро!B3</f>
        <v>0</v>
      </c>
      <c r="K11" s="40">
        <v>0</v>
      </c>
      <c r="L11" s="49">
        <f>SUM(C11:K11)</f>
        <v>0</v>
      </c>
      <c r="M11" s="4"/>
      <c r="N11" s="4"/>
      <c r="O11" s="4"/>
    </row>
    <row r="12" spans="1:19" x14ac:dyDescent="0.2">
      <c r="A12" s="26" t="s">
        <v>49</v>
      </c>
      <c r="B12" s="36">
        <v>2020</v>
      </c>
      <c r="C12" s="40">
        <f>C13+C14+C15</f>
        <v>0</v>
      </c>
      <c r="D12" s="40"/>
      <c r="E12" s="40">
        <f t="shared" ref="E12:K12" si="1">E13+E14+E15</f>
        <v>0</v>
      </c>
      <c r="F12" s="40">
        <f t="shared" si="1"/>
        <v>0</v>
      </c>
      <c r="G12" s="40">
        <f t="shared" si="1"/>
        <v>0</v>
      </c>
      <c r="H12" s="40">
        <f t="shared" si="1"/>
        <v>0</v>
      </c>
      <c r="I12" s="40"/>
      <c r="J12" s="40">
        <f t="shared" si="1"/>
        <v>0</v>
      </c>
      <c r="K12" s="40">
        <f t="shared" si="1"/>
        <v>0</v>
      </c>
      <c r="L12" s="49">
        <f>SUM(C12:K12)</f>
        <v>0</v>
      </c>
      <c r="M12" s="4"/>
      <c r="N12" s="4"/>
      <c r="O12" s="4"/>
    </row>
    <row r="13" spans="1:19" x14ac:dyDescent="0.2">
      <c r="A13" s="27" t="s">
        <v>25</v>
      </c>
      <c r="B13" s="34">
        <v>2020</v>
      </c>
      <c r="C13" s="41">
        <f>-Уголь!B12</f>
        <v>0</v>
      </c>
      <c r="D13" s="41"/>
      <c r="E13" s="41">
        <f>-Нефтепродукты!B12</f>
        <v>0</v>
      </c>
      <c r="F13" s="41">
        <f>-'Пр-й газ'!B12</f>
        <v>0</v>
      </c>
      <c r="G13" s="41">
        <f>-ПТТ!B12</f>
        <v>0</v>
      </c>
      <c r="H13" s="41"/>
      <c r="I13" s="41"/>
      <c r="J13" s="41">
        <f>-Электро!B11</f>
        <v>0</v>
      </c>
      <c r="K13" s="41">
        <f>Тепло!B4</f>
        <v>0</v>
      </c>
      <c r="L13" s="47">
        <f t="shared" si="0"/>
        <v>0</v>
      </c>
      <c r="M13" s="4"/>
      <c r="N13" s="4"/>
      <c r="O13" s="4"/>
    </row>
    <row r="14" spans="1:19" x14ac:dyDescent="0.2">
      <c r="A14" s="27" t="s">
        <v>3</v>
      </c>
      <c r="B14" s="34">
        <v>2020</v>
      </c>
      <c r="C14" s="41">
        <f>-Уголь!B13</f>
        <v>0</v>
      </c>
      <c r="D14" s="41"/>
      <c r="E14" s="41">
        <f>-Нефтепродукты!B13</f>
        <v>0</v>
      </c>
      <c r="F14" s="41">
        <f>-'Пр-й газ'!B13</f>
        <v>0</v>
      </c>
      <c r="G14" s="41">
        <f>-ПТТ!B13</f>
        <v>0</v>
      </c>
      <c r="H14" s="41"/>
      <c r="I14" s="41"/>
      <c r="J14" s="41">
        <f>-Электро!B12</f>
        <v>0</v>
      </c>
      <c r="K14" s="41">
        <f>Тепло!B5</f>
        <v>0</v>
      </c>
      <c r="L14" s="47">
        <f t="shared" si="0"/>
        <v>0</v>
      </c>
      <c r="M14" s="4"/>
    </row>
    <row r="15" spans="1:19" ht="25.5" x14ac:dyDescent="0.2">
      <c r="A15" s="27" t="s">
        <v>50</v>
      </c>
      <c r="B15" s="34">
        <v>2020</v>
      </c>
      <c r="C15" s="41">
        <f>-(Уголь!B14+Уголь!B15)</f>
        <v>0</v>
      </c>
      <c r="D15" s="41"/>
      <c r="E15" s="41">
        <f>-(Нефтепродукты!B14+Нефтепродукты!B15)</f>
        <v>0</v>
      </c>
      <c r="F15" s="41">
        <f>-('Пр-й газ'!B14+'Пр-й газ'!B15)</f>
        <v>0</v>
      </c>
      <c r="G15" s="41">
        <f>-(ПТТ!B14+ПТТ!B15)</f>
        <v>0</v>
      </c>
      <c r="H15" s="41"/>
      <c r="I15" s="41"/>
      <c r="J15" s="41">
        <f>-(Электро!B13+Электро!B14)</f>
        <v>0</v>
      </c>
      <c r="K15" s="41">
        <f>Тепло!B6+Тепло!B7</f>
        <v>0</v>
      </c>
      <c r="L15" s="47">
        <f t="shared" si="0"/>
        <v>0</v>
      </c>
      <c r="M15" s="4"/>
      <c r="N15" s="4"/>
    </row>
    <row r="16" spans="1:19" x14ac:dyDescent="0.2">
      <c r="A16" s="26" t="s">
        <v>51</v>
      </c>
      <c r="B16" s="37">
        <v>2020</v>
      </c>
      <c r="C16" s="65">
        <f>C17+C18+C19</f>
        <v>0</v>
      </c>
      <c r="D16" s="65">
        <f t="shared" ref="D16:J16" si="2">D17+D18+D19</f>
        <v>0</v>
      </c>
      <c r="E16" s="65">
        <f t="shared" si="2"/>
        <v>0</v>
      </c>
      <c r="F16" s="65">
        <f t="shared" si="2"/>
        <v>0</v>
      </c>
      <c r="G16" s="65">
        <f t="shared" si="2"/>
        <v>0</v>
      </c>
      <c r="H16" s="65">
        <f t="shared" si="2"/>
        <v>0</v>
      </c>
      <c r="I16" s="65">
        <f t="shared" si="2"/>
        <v>0</v>
      </c>
      <c r="J16" s="65">
        <f t="shared" si="2"/>
        <v>0</v>
      </c>
      <c r="K16" s="65">
        <f>K17+K18+K19</f>
        <v>0</v>
      </c>
      <c r="L16" s="50">
        <f>SUM(C16:K16)</f>
        <v>0</v>
      </c>
    </row>
    <row r="17" spans="1:12" x14ac:dyDescent="0.2">
      <c r="A17" s="27" t="s">
        <v>4</v>
      </c>
      <c r="B17" s="34">
        <v>2020</v>
      </c>
      <c r="C17" s="41">
        <f>-Уголь!B16</f>
        <v>0</v>
      </c>
      <c r="D17" s="41"/>
      <c r="E17" s="41">
        <f>-Нефтепродукты!B16</f>
        <v>0</v>
      </c>
      <c r="F17" s="41">
        <f>-'Пр-й газ'!B17</f>
        <v>0</v>
      </c>
      <c r="G17" s="41">
        <f>-ПТТ!B16</f>
        <v>0</v>
      </c>
      <c r="H17" s="41"/>
      <c r="I17" s="41"/>
      <c r="J17" s="41">
        <f>-Электро!B15</f>
        <v>0</v>
      </c>
      <c r="K17" s="41">
        <f>-Тепло!B13</f>
        <v>0</v>
      </c>
      <c r="L17" s="47">
        <f t="shared" ref="L17:L38" si="3">SUM(C17:K17)</f>
        <v>0</v>
      </c>
    </row>
    <row r="18" spans="1:12" x14ac:dyDescent="0.2">
      <c r="A18" s="27" t="s">
        <v>5</v>
      </c>
      <c r="B18" s="34">
        <v>2020</v>
      </c>
      <c r="C18" s="41">
        <f>-Уголь!B17</f>
        <v>0</v>
      </c>
      <c r="D18" s="41"/>
      <c r="E18" s="41">
        <f>-Нефтепродукты!B17</f>
        <v>0</v>
      </c>
      <c r="F18" s="41">
        <f>-'Пр-й газ'!B18</f>
        <v>0</v>
      </c>
      <c r="G18" s="41">
        <f>-ПТТ!B17</f>
        <v>0</v>
      </c>
      <c r="H18" s="41"/>
      <c r="I18" s="41"/>
      <c r="J18" s="41">
        <f>-Электро!B16</f>
        <v>0</v>
      </c>
      <c r="K18" s="41">
        <f>-Тепло!B14</f>
        <v>0</v>
      </c>
      <c r="L18" s="47">
        <f t="shared" si="3"/>
        <v>0</v>
      </c>
    </row>
    <row r="19" spans="1:12" x14ac:dyDescent="0.2">
      <c r="A19" s="27" t="s">
        <v>27</v>
      </c>
      <c r="B19" s="34">
        <v>2020</v>
      </c>
      <c r="C19" s="41">
        <f>-Уголь!B18</f>
        <v>0</v>
      </c>
      <c r="D19" s="41"/>
      <c r="E19" s="41">
        <f>-Нефтепродукты!B18</f>
        <v>0</v>
      </c>
      <c r="F19" s="41">
        <f>-'Пр-й газ'!B19</f>
        <v>0</v>
      </c>
      <c r="G19" s="41">
        <f>-ПТТ!B18</f>
        <v>0</v>
      </c>
      <c r="H19" s="41"/>
      <c r="I19" s="41"/>
      <c r="J19" s="41">
        <f>-Электро!B17</f>
        <v>0</v>
      </c>
      <c r="K19" s="41">
        <f>-Тепло!B15</f>
        <v>0</v>
      </c>
      <c r="L19" s="47">
        <f t="shared" si="3"/>
        <v>0</v>
      </c>
    </row>
    <row r="20" spans="1:12" x14ac:dyDescent="0.2">
      <c r="A20" s="26" t="s">
        <v>6</v>
      </c>
      <c r="B20" s="36">
        <v>2020</v>
      </c>
      <c r="C20" s="40">
        <f>-Уголь!B19</f>
        <v>0</v>
      </c>
      <c r="D20" s="40"/>
      <c r="E20" s="40">
        <f>-Нефтепродукты!B19</f>
        <v>0</v>
      </c>
      <c r="F20" s="40">
        <f>-'Пр-й газ'!B19</f>
        <v>0</v>
      </c>
      <c r="G20" s="40">
        <f>-ПТТ!B19</f>
        <v>0</v>
      </c>
      <c r="H20" s="40"/>
      <c r="I20" s="40"/>
      <c r="J20" s="40">
        <f>-Электро!B18</f>
        <v>0</v>
      </c>
      <c r="K20" s="40">
        <f>-Тепло!B16</f>
        <v>0</v>
      </c>
      <c r="L20" s="49">
        <f t="shared" si="3"/>
        <v>0</v>
      </c>
    </row>
    <row r="21" spans="1:12" x14ac:dyDescent="0.2">
      <c r="A21" s="26" t="s">
        <v>52</v>
      </c>
      <c r="B21" s="36">
        <v>2020</v>
      </c>
      <c r="C21" s="40">
        <f>-Уголь!B20</f>
        <v>0</v>
      </c>
      <c r="D21" s="40"/>
      <c r="E21" s="40">
        <f>-Нефтепродукты!B20</f>
        <v>0</v>
      </c>
      <c r="F21" s="40">
        <f>-'Пр-й газ'!B20</f>
        <v>0</v>
      </c>
      <c r="G21" s="40">
        <f>-ПТТ!B20</f>
        <v>0</v>
      </c>
      <c r="H21" s="40"/>
      <c r="I21" s="40"/>
      <c r="J21" s="40">
        <f>-Электро!B19</f>
        <v>0</v>
      </c>
      <c r="K21" s="40">
        <f>-Тепло!B17</f>
        <v>0</v>
      </c>
      <c r="L21" s="49">
        <f t="shared" si="3"/>
        <v>0</v>
      </c>
    </row>
    <row r="22" spans="1:12" x14ac:dyDescent="0.2">
      <c r="A22" s="28" t="s">
        <v>7</v>
      </c>
      <c r="B22" s="37">
        <v>2020</v>
      </c>
      <c r="C22" s="83">
        <f>Уголь!B21</f>
        <v>0</v>
      </c>
      <c r="D22" s="83"/>
      <c r="E22" s="83">
        <f>Нефтепродукты!B21</f>
        <v>0</v>
      </c>
      <c r="F22" s="83">
        <f>'Пр-й газ'!B22</f>
        <v>0</v>
      </c>
      <c r="G22" s="83">
        <f>ПТТ!B21</f>
        <v>0</v>
      </c>
      <c r="H22" s="83"/>
      <c r="I22" s="83"/>
      <c r="J22" s="83">
        <f>Электро!B20</f>
        <v>0</v>
      </c>
      <c r="K22" s="83">
        <f>Тепло!B18</f>
        <v>0</v>
      </c>
      <c r="L22" s="48">
        <f>SUM(C22:K22)</f>
        <v>0</v>
      </c>
    </row>
    <row r="23" spans="1:12" x14ac:dyDescent="0.2">
      <c r="A23" s="29" t="s">
        <v>12</v>
      </c>
      <c r="B23" s="36">
        <v>2020</v>
      </c>
      <c r="C23" s="40">
        <f>Уголь!B22</f>
        <v>0</v>
      </c>
      <c r="D23" s="40"/>
      <c r="E23" s="40">
        <f>Нефтепродукты!B22</f>
        <v>0</v>
      </c>
      <c r="F23" s="40">
        <f>'Пр-й газ'!B23</f>
        <v>0</v>
      </c>
      <c r="G23" s="40">
        <f>ПТТ!B22</f>
        <v>0</v>
      </c>
      <c r="H23" s="40"/>
      <c r="I23" s="40"/>
      <c r="J23" s="40">
        <f>Электро!B21</f>
        <v>0</v>
      </c>
      <c r="K23" s="40">
        <f>Тепло!B19</f>
        <v>0</v>
      </c>
      <c r="L23" s="49">
        <f t="shared" si="3"/>
        <v>0</v>
      </c>
    </row>
    <row r="24" spans="1:12" x14ac:dyDescent="0.2">
      <c r="A24" s="29" t="s">
        <v>53</v>
      </c>
      <c r="B24" s="36">
        <v>2020</v>
      </c>
      <c r="C24" s="40">
        <f>Уголь!B23</f>
        <v>0</v>
      </c>
      <c r="D24" s="40"/>
      <c r="E24" s="40">
        <f>Нефтепродукты!B23</f>
        <v>0</v>
      </c>
      <c r="F24" s="40">
        <f>'Пр-й газ'!B24</f>
        <v>0</v>
      </c>
      <c r="G24" s="40">
        <f>ПТТ!B23</f>
        <v>0</v>
      </c>
      <c r="H24" s="40"/>
      <c r="I24" s="40"/>
      <c r="J24" s="40">
        <f>Электро!B22</f>
        <v>0</v>
      </c>
      <c r="K24" s="40">
        <f>Тепло!B20</f>
        <v>0</v>
      </c>
      <c r="L24" s="49">
        <f t="shared" si="3"/>
        <v>0</v>
      </c>
    </row>
    <row r="25" spans="1:12" x14ac:dyDescent="0.2">
      <c r="A25" s="29" t="s">
        <v>56</v>
      </c>
      <c r="B25" s="36"/>
      <c r="C25" s="40">
        <f>Уголь!B24</f>
        <v>0</v>
      </c>
      <c r="D25" s="40"/>
      <c r="E25" s="40">
        <f>Нефтепродукты!B24</f>
        <v>0</v>
      </c>
      <c r="F25" s="40">
        <f>'Пр-й газ'!B25</f>
        <v>0</v>
      </c>
      <c r="G25" s="40">
        <f>ПТТ!B24</f>
        <v>0</v>
      </c>
      <c r="H25" s="40"/>
      <c r="I25" s="40"/>
      <c r="J25" s="40">
        <f>Электро!B23</f>
        <v>0</v>
      </c>
      <c r="K25" s="40">
        <f>Тепло!B21</f>
        <v>0</v>
      </c>
      <c r="L25" s="49">
        <f t="shared" si="3"/>
        <v>0</v>
      </c>
    </row>
    <row r="26" spans="1:12" x14ac:dyDescent="0.2">
      <c r="A26" s="29" t="s">
        <v>57</v>
      </c>
      <c r="B26" s="36"/>
      <c r="C26" s="40">
        <f>Уголь!B25</f>
        <v>0</v>
      </c>
      <c r="D26" s="40"/>
      <c r="E26" s="40">
        <f>Нефтепродукты!B25</f>
        <v>0</v>
      </c>
      <c r="F26" s="40">
        <f>'Пр-й газ'!B26</f>
        <v>0</v>
      </c>
      <c r="G26" s="40">
        <f>ПТТ!B25</f>
        <v>0</v>
      </c>
      <c r="H26" s="40"/>
      <c r="I26" s="40"/>
      <c r="J26" s="40">
        <f>Электро!B24</f>
        <v>0</v>
      </c>
      <c r="K26" s="40">
        <f>Тепло!B22</f>
        <v>0</v>
      </c>
      <c r="L26" s="49">
        <f t="shared" si="3"/>
        <v>0</v>
      </c>
    </row>
    <row r="27" spans="1:12" x14ac:dyDescent="0.2">
      <c r="A27" s="29" t="s">
        <v>58</v>
      </c>
      <c r="B27" s="36"/>
      <c r="C27" s="40">
        <f>Уголь!B26</f>
        <v>0</v>
      </c>
      <c r="D27" s="40"/>
      <c r="E27" s="40">
        <f>Нефтепродукты!B26</f>
        <v>0</v>
      </c>
      <c r="F27" s="40">
        <f>'Пр-й газ'!B27</f>
        <v>0</v>
      </c>
      <c r="G27" s="40">
        <f>ПТТ!B26</f>
        <v>0</v>
      </c>
      <c r="H27" s="40"/>
      <c r="I27" s="40"/>
      <c r="J27" s="40">
        <f>Электро!B25</f>
        <v>0</v>
      </c>
      <c r="K27" s="40">
        <f>Тепло!B23</f>
        <v>0</v>
      </c>
      <c r="L27" s="49">
        <f t="shared" si="3"/>
        <v>0</v>
      </c>
    </row>
    <row r="28" spans="1:12" ht="25.5" x14ac:dyDescent="0.2">
      <c r="A28" s="29" t="s">
        <v>59</v>
      </c>
      <c r="B28" s="36">
        <v>2020</v>
      </c>
      <c r="C28" s="40">
        <f>Уголь!B27</f>
        <v>0</v>
      </c>
      <c r="D28" s="40"/>
      <c r="E28" s="40">
        <f>Нефтепродукты!B27</f>
        <v>0</v>
      </c>
      <c r="F28" s="40">
        <f>'Пр-й газ'!B28</f>
        <v>0</v>
      </c>
      <c r="G28" s="40">
        <f>ПТТ!B27</f>
        <v>0</v>
      </c>
      <c r="H28" s="40"/>
      <c r="I28" s="40"/>
      <c r="J28" s="40">
        <f>Электро!B26</f>
        <v>0</v>
      </c>
      <c r="K28" s="40">
        <f>Тепло!B24</f>
        <v>0</v>
      </c>
      <c r="L28" s="49">
        <f t="shared" si="3"/>
        <v>0</v>
      </c>
    </row>
    <row r="29" spans="1:12" x14ac:dyDescent="0.2">
      <c r="A29" s="29" t="s">
        <v>60</v>
      </c>
      <c r="B29" s="36"/>
      <c r="C29" s="40">
        <f>Уголь!B28</f>
        <v>0</v>
      </c>
      <c r="D29" s="40"/>
      <c r="E29" s="40">
        <f>Нефтепродукты!B28</f>
        <v>0</v>
      </c>
      <c r="F29" s="40">
        <f>'Пр-й газ'!B29</f>
        <v>0</v>
      </c>
      <c r="G29" s="40">
        <f>ПТТ!B28</f>
        <v>0</v>
      </c>
      <c r="H29" s="40"/>
      <c r="I29" s="40"/>
      <c r="J29" s="40">
        <f>Электро!B27</f>
        <v>0</v>
      </c>
      <c r="K29" s="40">
        <f>Тепло!B25</f>
        <v>0</v>
      </c>
      <c r="L29" s="49">
        <f t="shared" si="3"/>
        <v>0</v>
      </c>
    </row>
    <row r="30" spans="1:12" x14ac:dyDescent="0.2">
      <c r="A30" s="29" t="s">
        <v>20</v>
      </c>
      <c r="B30" s="36">
        <v>2020</v>
      </c>
      <c r="C30" s="40">
        <f>Уголь!B29</f>
        <v>0</v>
      </c>
      <c r="D30" s="40"/>
      <c r="E30" s="40">
        <f>Нефтепродукты!B29</f>
        <v>0</v>
      </c>
      <c r="F30" s="40">
        <f>'Пр-й газ'!B30</f>
        <v>0</v>
      </c>
      <c r="G30" s="40">
        <f>ПТТ!B29</f>
        <v>0</v>
      </c>
      <c r="H30" s="40"/>
      <c r="I30" s="40"/>
      <c r="J30" s="40">
        <f>Электро!B28</f>
        <v>0</v>
      </c>
      <c r="K30" s="40">
        <f>Тепло!B26</f>
        <v>0</v>
      </c>
      <c r="L30" s="49">
        <f t="shared" si="3"/>
        <v>0</v>
      </c>
    </row>
    <row r="31" spans="1:12" x14ac:dyDescent="0.2">
      <c r="A31" s="29" t="s">
        <v>54</v>
      </c>
      <c r="B31" s="36">
        <v>2020</v>
      </c>
      <c r="C31" s="40">
        <f>Уголь!B30</f>
        <v>0</v>
      </c>
      <c r="D31" s="40"/>
      <c r="E31" s="40">
        <f>Нефтепродукты!B30</f>
        <v>0</v>
      </c>
      <c r="F31" s="40">
        <f>'Пр-й газ'!B31</f>
        <v>0</v>
      </c>
      <c r="G31" s="40">
        <f>ПТТ!B30</f>
        <v>0</v>
      </c>
      <c r="H31" s="40"/>
      <c r="I31" s="40"/>
      <c r="J31" s="40">
        <f>Электро!B29</f>
        <v>0</v>
      </c>
      <c r="K31" s="40">
        <f>Тепло!B27</f>
        <v>0</v>
      </c>
      <c r="L31" s="49">
        <f t="shared" si="3"/>
        <v>0</v>
      </c>
    </row>
    <row r="32" spans="1:12" x14ac:dyDescent="0.2">
      <c r="A32" s="30" t="s">
        <v>8</v>
      </c>
      <c r="B32" s="34">
        <v>2020</v>
      </c>
      <c r="C32" s="41">
        <f>Уголь!B31</f>
        <v>0</v>
      </c>
      <c r="D32" s="41"/>
      <c r="E32" s="41">
        <f>Нефтепродукты!B31</f>
        <v>0</v>
      </c>
      <c r="F32" s="41">
        <f>'Пр-й газ'!B32</f>
        <v>0</v>
      </c>
      <c r="G32" s="41">
        <f>ПТТ!B31</f>
        <v>0</v>
      </c>
      <c r="H32" s="41"/>
      <c r="I32" s="41"/>
      <c r="J32" s="41">
        <f>Электро!B30</f>
        <v>0</v>
      </c>
      <c r="K32" s="41">
        <f>Тепло!B28</f>
        <v>0</v>
      </c>
      <c r="L32" s="47">
        <f t="shared" si="3"/>
        <v>0</v>
      </c>
    </row>
    <row r="33" spans="1:12" x14ac:dyDescent="0.2">
      <c r="A33" s="30" t="s">
        <v>9</v>
      </c>
      <c r="B33" s="34">
        <v>2020</v>
      </c>
      <c r="C33" s="41">
        <f>Уголь!B32</f>
        <v>0</v>
      </c>
      <c r="D33" s="41"/>
      <c r="E33" s="41">
        <f>Нефтепродукты!B32</f>
        <v>0</v>
      </c>
      <c r="F33" s="41">
        <f>'Пр-й газ'!B33</f>
        <v>0</v>
      </c>
      <c r="G33" s="41">
        <f>ПТТ!B32</f>
        <v>0</v>
      </c>
      <c r="H33" s="41"/>
      <c r="I33" s="41"/>
      <c r="J33" s="41">
        <f>Электро!B31</f>
        <v>0</v>
      </c>
      <c r="K33" s="41">
        <f>Тепло!B29</f>
        <v>0</v>
      </c>
      <c r="L33" s="47">
        <f t="shared" si="3"/>
        <v>0</v>
      </c>
    </row>
    <row r="34" spans="1:12" x14ac:dyDescent="0.2">
      <c r="A34" s="30" t="s">
        <v>10</v>
      </c>
      <c r="B34" s="34">
        <v>2020</v>
      </c>
      <c r="C34" s="41">
        <f>Уголь!B33</f>
        <v>0</v>
      </c>
      <c r="D34" s="41"/>
      <c r="E34" s="41">
        <f>Нефтепродукты!B33</f>
        <v>0</v>
      </c>
      <c r="F34" s="41">
        <f>'Пр-й газ'!B34</f>
        <v>0</v>
      </c>
      <c r="G34" s="41">
        <f>ПТТ!B33</f>
        <v>0</v>
      </c>
      <c r="H34" s="41"/>
      <c r="I34" s="41"/>
      <c r="J34" s="41">
        <f>Электро!B32</f>
        <v>0</v>
      </c>
      <c r="K34" s="41">
        <f>Тепло!B30</f>
        <v>0</v>
      </c>
      <c r="L34" s="47">
        <f t="shared" si="3"/>
        <v>0</v>
      </c>
    </row>
    <row r="35" spans="1:12" x14ac:dyDescent="0.2">
      <c r="A35" s="30" t="s">
        <v>11</v>
      </c>
      <c r="B35" s="34">
        <v>2020</v>
      </c>
      <c r="C35" s="41">
        <f>Уголь!B34</f>
        <v>0</v>
      </c>
      <c r="D35" s="41"/>
      <c r="E35" s="41">
        <f>Нефтепродукты!B34</f>
        <v>0</v>
      </c>
      <c r="F35" s="41">
        <f>'Пр-й газ'!B35</f>
        <v>0</v>
      </c>
      <c r="G35" s="41">
        <f>ПТТ!B34</f>
        <v>0</v>
      </c>
      <c r="H35" s="41"/>
      <c r="I35" s="41"/>
      <c r="J35" s="41">
        <f>Электро!B33</f>
        <v>0</v>
      </c>
      <c r="K35" s="41">
        <f>Тепло!B31</f>
        <v>0</v>
      </c>
      <c r="L35" s="47">
        <f t="shared" si="3"/>
        <v>0</v>
      </c>
    </row>
    <row r="36" spans="1:12" x14ac:dyDescent="0.2">
      <c r="A36" s="29" t="s">
        <v>13</v>
      </c>
      <c r="B36" s="36">
        <v>2020</v>
      </c>
      <c r="C36" s="40">
        <f>Уголь!B35</f>
        <v>0</v>
      </c>
      <c r="D36" s="40"/>
      <c r="E36" s="40">
        <f>Нефтепродукты!B35</f>
        <v>0</v>
      </c>
      <c r="F36" s="40">
        <f>'Пр-й газ'!B36</f>
        <v>0</v>
      </c>
      <c r="G36" s="40">
        <f>ПТТ!B35</f>
        <v>0</v>
      </c>
      <c r="H36" s="40"/>
      <c r="I36" s="40"/>
      <c r="J36" s="40">
        <f>Электро!B34</f>
        <v>0</v>
      </c>
      <c r="K36" s="40">
        <f>Тепло!B32</f>
        <v>0</v>
      </c>
      <c r="L36" s="49">
        <f t="shared" si="3"/>
        <v>0</v>
      </c>
    </row>
    <row r="37" spans="1:12" x14ac:dyDescent="0.2">
      <c r="A37" s="29" t="s">
        <v>14</v>
      </c>
      <c r="B37" s="36">
        <v>2020</v>
      </c>
      <c r="C37" s="40">
        <f>Уголь!B36</f>
        <v>0</v>
      </c>
      <c r="D37" s="40"/>
      <c r="E37" s="40">
        <f>Нефтепродукты!B36</f>
        <v>0</v>
      </c>
      <c r="F37" s="40">
        <f>'Пр-й газ'!B37</f>
        <v>0</v>
      </c>
      <c r="G37" s="40">
        <f>ПТТ!B36</f>
        <v>0</v>
      </c>
      <c r="H37" s="40"/>
      <c r="I37" s="40"/>
      <c r="J37" s="40">
        <f>Электро!B35</f>
        <v>0</v>
      </c>
      <c r="K37" s="40">
        <f>Тепло!B33</f>
        <v>0</v>
      </c>
      <c r="L37" s="49">
        <f t="shared" si="3"/>
        <v>0</v>
      </c>
    </row>
    <row r="38" spans="1:12" x14ac:dyDescent="0.2">
      <c r="A38" s="29" t="s">
        <v>15</v>
      </c>
      <c r="B38" s="36">
        <v>2020</v>
      </c>
      <c r="C38" s="40">
        <f>Уголь!B37</f>
        <v>0</v>
      </c>
      <c r="D38" s="40"/>
      <c r="E38" s="40">
        <f>Нефтепродукты!B37</f>
        <v>0</v>
      </c>
      <c r="F38" s="40">
        <f>'Пр-й газ'!B38</f>
        <v>0</v>
      </c>
      <c r="G38" s="40">
        <f>ПТТ!B37</f>
        <v>0</v>
      </c>
      <c r="H38" s="40"/>
      <c r="I38" s="40"/>
      <c r="J38" s="40">
        <f>Электро!B36</f>
        <v>0</v>
      </c>
      <c r="K38" s="40">
        <f>Тепло!B34</f>
        <v>0</v>
      </c>
      <c r="L38" s="49">
        <f t="shared" si="3"/>
        <v>0</v>
      </c>
    </row>
  </sheetData>
  <conditionalFormatting sqref="L5:L38">
    <cfRule type="cellIs" dxfId="159" priority="1" operator="equal">
      <formula>0</formula>
    </cfRule>
  </conditionalFormatting>
  <printOptions horizontalCentered="1" verticalCentered="1"/>
  <pageMargins left="0.25" right="0.25" top="0.25" bottom="0.25" header="0" footer="0"/>
  <pageSetup paperSize="9" scale="9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  <pageSetUpPr fitToPage="1"/>
  </sheetPr>
  <dimension ref="A1:S42"/>
  <sheetViews>
    <sheetView zoomScale="130" zoomScaleNormal="130" workbookViewId="0">
      <pane ySplit="2" topLeftCell="A3" activePane="bottomLeft" state="frozen"/>
      <selection pane="bottomLeft" activeCell="F28" sqref="F28"/>
    </sheetView>
  </sheetViews>
  <sheetFormatPr defaultColWidth="8.85546875" defaultRowHeight="12.75" x14ac:dyDescent="0.2"/>
  <cols>
    <col min="1" max="1" width="43" style="1" customWidth="1"/>
    <col min="2" max="2" width="14.85546875" style="1" customWidth="1"/>
    <col min="3" max="3" width="17.5703125" style="1" customWidth="1"/>
    <col min="4" max="4" width="17.140625" style="4" customWidth="1"/>
    <col min="5" max="5" width="15" style="1" customWidth="1"/>
    <col min="6" max="6" width="14.5703125" style="1" customWidth="1"/>
    <col min="7" max="7" width="15.140625" style="1" customWidth="1"/>
    <col min="8" max="8" width="12.140625" style="1" customWidth="1"/>
    <col min="9" max="9" width="12.85546875" style="1" customWidth="1"/>
    <col min="10" max="10" width="10.7109375" style="1" bestFit="1" customWidth="1"/>
    <col min="11" max="11" width="7.140625" style="1" customWidth="1"/>
    <col min="12" max="12" width="12.140625" style="1" customWidth="1"/>
    <col min="13" max="13" width="10.7109375" style="1" customWidth="1"/>
    <col min="14" max="14" width="11" style="1" customWidth="1"/>
    <col min="15" max="15" width="10.5703125" style="1" customWidth="1"/>
    <col min="16" max="16" width="7.42578125" style="1" customWidth="1"/>
    <col min="17" max="17" width="8.140625" style="1" customWidth="1"/>
    <col min="18" max="18" width="7.42578125" style="2" customWidth="1"/>
    <col min="19" max="19" width="10.42578125" style="2" customWidth="1"/>
    <col min="20" max="20" width="11.42578125" style="1" bestFit="1" customWidth="1"/>
    <col min="21" max="23" width="9" style="1" bestFit="1" customWidth="1"/>
    <col min="24" max="24" width="11.42578125" style="1" bestFit="1" customWidth="1"/>
    <col min="25" max="16384" width="8.85546875" style="1"/>
  </cols>
  <sheetData>
    <row r="1" spans="1:19" ht="22.5" x14ac:dyDescent="0.25">
      <c r="A1" s="13"/>
      <c r="B1" s="14"/>
      <c r="C1" s="16"/>
      <c r="D1" s="15"/>
      <c r="E1" s="63" t="str">
        <f>Баланс!J1</f>
        <v>Московская область.</v>
      </c>
      <c r="F1" s="63" t="str">
        <f>Баланс!K1</f>
        <v>2022 год</v>
      </c>
      <c r="G1" s="69"/>
      <c r="H1" s="17"/>
      <c r="I1" s="18"/>
      <c r="J1" s="18"/>
      <c r="K1" s="5"/>
      <c r="L1" s="5"/>
    </row>
    <row r="2" spans="1:19" s="6" customFormat="1" ht="51" x14ac:dyDescent="0.2">
      <c r="A2" s="52" t="s">
        <v>75</v>
      </c>
      <c r="B2" s="53" t="s">
        <v>95</v>
      </c>
      <c r="C2" s="53" t="s">
        <v>77</v>
      </c>
    </row>
    <row r="3" spans="1:19" x14ac:dyDescent="0.2">
      <c r="A3" s="73" t="s">
        <v>28</v>
      </c>
      <c r="B3" s="55">
        <f>C3*0.123/1000</f>
        <v>0</v>
      </c>
      <c r="C3" s="55"/>
      <c r="D3" s="1"/>
      <c r="R3" s="1"/>
      <c r="S3" s="1"/>
    </row>
    <row r="4" spans="1:19" x14ac:dyDescent="0.2">
      <c r="A4" s="73" t="s">
        <v>31</v>
      </c>
      <c r="B4" s="55">
        <f t="shared" ref="B4:B36" si="0">C4*0.123/1000</f>
        <v>0</v>
      </c>
      <c r="C4" s="55"/>
      <c r="D4" s="1"/>
      <c r="R4" s="1"/>
      <c r="S4" s="1"/>
    </row>
    <row r="5" spans="1:19" s="7" customFormat="1" x14ac:dyDescent="0.2">
      <c r="A5" s="73" t="s">
        <v>16</v>
      </c>
      <c r="B5" s="55">
        <f t="shared" si="0"/>
        <v>0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O5" s="1"/>
      <c r="P5" s="1"/>
      <c r="Q5" s="1"/>
      <c r="R5" s="1"/>
      <c r="S5" s="1"/>
    </row>
    <row r="6" spans="1:19" x14ac:dyDescent="0.2">
      <c r="A6" s="73" t="s">
        <v>17</v>
      </c>
      <c r="B6" s="55">
        <f t="shared" si="0"/>
        <v>0</v>
      </c>
      <c r="C6" s="55"/>
      <c r="D6" s="1"/>
      <c r="R6" s="1"/>
      <c r="S6" s="1"/>
    </row>
    <row r="7" spans="1:19" x14ac:dyDescent="0.2">
      <c r="A7" s="73" t="s">
        <v>2</v>
      </c>
      <c r="B7" s="55">
        <f t="shared" si="0"/>
        <v>0</v>
      </c>
      <c r="C7" s="55"/>
      <c r="D7" s="1"/>
      <c r="R7" s="1"/>
      <c r="S7" s="1"/>
    </row>
    <row r="8" spans="1:19" s="8" customFormat="1" x14ac:dyDescent="0.2">
      <c r="A8" s="74" t="s">
        <v>18</v>
      </c>
      <c r="B8" s="59">
        <f t="shared" si="0"/>
        <v>0</v>
      </c>
      <c r="C8" s="81">
        <f>C3+C5-C6+C7</f>
        <v>0</v>
      </c>
      <c r="D8" s="3"/>
      <c r="E8" s="3"/>
      <c r="F8" s="3"/>
      <c r="G8" s="3"/>
      <c r="H8" s="3"/>
      <c r="I8" s="3"/>
      <c r="J8" s="3"/>
      <c r="K8" s="3"/>
      <c r="L8" s="3"/>
      <c r="M8" s="3"/>
      <c r="O8" s="3"/>
      <c r="P8" s="3"/>
      <c r="Q8" s="3"/>
      <c r="R8" s="3"/>
      <c r="S8" s="3"/>
    </row>
    <row r="9" spans="1:19" x14ac:dyDescent="0.2">
      <c r="A9" s="75" t="s">
        <v>24</v>
      </c>
      <c r="B9" s="59">
        <f t="shared" si="0"/>
        <v>0</v>
      </c>
      <c r="C9" s="81">
        <f>C8-C10-C15-C16-C17-C18-C19-C20</f>
        <v>0</v>
      </c>
      <c r="D9" s="1"/>
      <c r="R9" s="1"/>
      <c r="S9" s="1"/>
    </row>
    <row r="10" spans="1:19" x14ac:dyDescent="0.2">
      <c r="A10" s="75" t="s">
        <v>21</v>
      </c>
      <c r="B10" s="55">
        <f t="shared" si="0"/>
        <v>0</v>
      </c>
      <c r="C10" s="55"/>
      <c r="D10" s="1"/>
      <c r="R10" s="1"/>
      <c r="S10" s="1"/>
    </row>
    <row r="11" spans="1:19" s="7" customFormat="1" x14ac:dyDescent="0.2">
      <c r="A11" s="76" t="s">
        <v>101</v>
      </c>
      <c r="B11" s="55">
        <f t="shared" si="0"/>
        <v>0</v>
      </c>
      <c r="C11" s="55"/>
      <c r="D11" s="1"/>
      <c r="E11" s="1"/>
      <c r="F11" s="1"/>
      <c r="G11" s="1"/>
      <c r="H11" s="1"/>
      <c r="I11" s="1"/>
      <c r="J11" s="1"/>
      <c r="K11" s="1"/>
      <c r="L11" s="1"/>
      <c r="M11" s="1"/>
      <c r="O11" s="1"/>
      <c r="P11" s="1"/>
      <c r="Q11" s="1"/>
      <c r="R11" s="1"/>
      <c r="S11" s="1"/>
    </row>
    <row r="12" spans="1:19" x14ac:dyDescent="0.2">
      <c r="A12" s="77" t="s">
        <v>3</v>
      </c>
      <c r="B12" s="55">
        <f t="shared" si="0"/>
        <v>0</v>
      </c>
      <c r="C12" s="55"/>
      <c r="D12" s="1"/>
      <c r="R12" s="1"/>
      <c r="S12" s="1"/>
    </row>
    <row r="13" spans="1:19" x14ac:dyDescent="0.2">
      <c r="A13" s="77" t="s">
        <v>26</v>
      </c>
      <c r="B13" s="55">
        <f t="shared" si="0"/>
        <v>0</v>
      </c>
      <c r="C13" s="55"/>
      <c r="D13" s="1"/>
      <c r="R13" s="1"/>
      <c r="S13" s="1"/>
    </row>
    <row r="14" spans="1:19" s="7" customFormat="1" ht="25.5" x14ac:dyDescent="0.2">
      <c r="A14" s="77" t="s">
        <v>19</v>
      </c>
      <c r="B14" s="55">
        <f t="shared" si="0"/>
        <v>0</v>
      </c>
      <c r="C14" s="55"/>
      <c r="D14" s="1"/>
      <c r="E14" s="1"/>
      <c r="F14" s="1"/>
      <c r="G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"/>
    </row>
    <row r="15" spans="1:19" x14ac:dyDescent="0.2">
      <c r="A15" s="75" t="s">
        <v>4</v>
      </c>
      <c r="B15" s="55">
        <f t="shared" si="0"/>
        <v>0</v>
      </c>
      <c r="C15" s="55"/>
      <c r="D15" s="1"/>
      <c r="R15" s="1"/>
      <c r="S15" s="1"/>
    </row>
    <row r="16" spans="1:19" x14ac:dyDescent="0.2">
      <c r="A16" s="75" t="s">
        <v>5</v>
      </c>
      <c r="B16" s="55">
        <f t="shared" si="0"/>
        <v>0</v>
      </c>
      <c r="C16" s="55"/>
      <c r="D16" s="1"/>
      <c r="R16" s="1"/>
      <c r="S16" s="1"/>
    </row>
    <row r="17" spans="1:19" s="7" customFormat="1" x14ac:dyDescent="0.2">
      <c r="A17" s="75" t="s">
        <v>27</v>
      </c>
      <c r="B17" s="55">
        <f t="shared" si="0"/>
        <v>0</v>
      </c>
      <c r="C17" s="55"/>
      <c r="D17" s="1"/>
      <c r="E17" s="1"/>
      <c r="F17" s="1"/>
      <c r="G17" s="1"/>
      <c r="H17" s="1"/>
      <c r="I17" s="1"/>
      <c r="J17" s="1"/>
      <c r="K17" s="1"/>
      <c r="L17" s="1"/>
      <c r="M17" s="1"/>
      <c r="O17" s="1"/>
      <c r="P17" s="1"/>
      <c r="Q17" s="1"/>
      <c r="R17" s="1"/>
      <c r="S17" s="1"/>
    </row>
    <row r="18" spans="1:19" x14ac:dyDescent="0.2">
      <c r="A18" s="75" t="s">
        <v>6</v>
      </c>
      <c r="B18" s="55">
        <f t="shared" si="0"/>
        <v>0</v>
      </c>
      <c r="C18" s="55"/>
      <c r="D18" s="1"/>
      <c r="R18" s="1"/>
      <c r="S18" s="1"/>
    </row>
    <row r="19" spans="1:19" x14ac:dyDescent="0.2">
      <c r="A19" s="75" t="s">
        <v>22</v>
      </c>
      <c r="B19" s="55">
        <f t="shared" si="0"/>
        <v>0</v>
      </c>
      <c r="C19" s="55"/>
      <c r="D19" s="1"/>
      <c r="R19" s="1"/>
      <c r="S19" s="1"/>
    </row>
    <row r="20" spans="1:19" s="8" customFormat="1" x14ac:dyDescent="0.2">
      <c r="A20" s="75" t="s">
        <v>7</v>
      </c>
      <c r="B20" s="59">
        <f t="shared" si="0"/>
        <v>0</v>
      </c>
      <c r="C20" s="81">
        <f>C21+C22+C28+C29+C34+C35+C36</f>
        <v>0</v>
      </c>
      <c r="D20" s="3"/>
      <c r="E20" s="3"/>
      <c r="F20" s="3"/>
      <c r="G20" s="3"/>
      <c r="H20" s="3"/>
      <c r="I20" s="3"/>
      <c r="J20" s="3"/>
      <c r="K20" s="3"/>
      <c r="L20" s="3"/>
      <c r="M20" s="3"/>
      <c r="O20" s="3"/>
      <c r="P20" s="3"/>
      <c r="Q20" s="3"/>
      <c r="R20" s="3"/>
      <c r="S20" s="3"/>
    </row>
    <row r="21" spans="1:19" ht="25.5" x14ac:dyDescent="0.2">
      <c r="A21" s="78" t="s">
        <v>100</v>
      </c>
      <c r="B21" s="55">
        <f t="shared" si="0"/>
        <v>0</v>
      </c>
      <c r="C21" s="80"/>
      <c r="D21" s="1"/>
      <c r="R21" s="1"/>
      <c r="S21" s="1"/>
    </row>
    <row r="22" spans="1:19" x14ac:dyDescent="0.2">
      <c r="A22" s="78" t="s">
        <v>53</v>
      </c>
      <c r="B22" s="55">
        <f t="shared" si="0"/>
        <v>0</v>
      </c>
      <c r="C22" s="80"/>
      <c r="D22" s="1"/>
      <c r="R22" s="1"/>
      <c r="S22" s="1"/>
    </row>
    <row r="23" spans="1:19" x14ac:dyDescent="0.2">
      <c r="A23" s="78" t="s">
        <v>56</v>
      </c>
      <c r="B23" s="55">
        <f t="shared" si="0"/>
        <v>0</v>
      </c>
      <c r="C23" s="80"/>
      <c r="D23" s="1"/>
      <c r="R23" s="1"/>
      <c r="S23" s="1"/>
    </row>
    <row r="24" spans="1:19" x14ac:dyDescent="0.2">
      <c r="A24" s="78" t="s">
        <v>57</v>
      </c>
      <c r="B24" s="55">
        <f t="shared" si="0"/>
        <v>0</v>
      </c>
      <c r="C24" s="80"/>
      <c r="D24" s="1"/>
      <c r="R24" s="1"/>
      <c r="S24" s="1"/>
    </row>
    <row r="25" spans="1:19" x14ac:dyDescent="0.2">
      <c r="A25" s="78" t="s">
        <v>58</v>
      </c>
      <c r="B25" s="55">
        <f t="shared" si="0"/>
        <v>0</v>
      </c>
      <c r="C25" s="80"/>
      <c r="D25" s="1"/>
      <c r="R25" s="1"/>
      <c r="S25" s="1"/>
    </row>
    <row r="26" spans="1:19" s="7" customFormat="1" ht="25.5" x14ac:dyDescent="0.2">
      <c r="A26" s="78" t="s">
        <v>59</v>
      </c>
      <c r="B26" s="55">
        <f t="shared" si="0"/>
        <v>0</v>
      </c>
      <c r="C26" s="80"/>
      <c r="D26" s="1"/>
      <c r="E26" s="1"/>
      <c r="F26" s="1"/>
      <c r="G26" s="1"/>
      <c r="H26" s="1"/>
      <c r="I26" s="1"/>
      <c r="J26" s="1"/>
      <c r="K26" s="1"/>
      <c r="L26" s="1"/>
      <c r="M26" s="1"/>
      <c r="O26" s="1"/>
      <c r="P26" s="1"/>
      <c r="Q26" s="1"/>
      <c r="R26" s="1"/>
      <c r="S26" s="1"/>
    </row>
    <row r="27" spans="1:19" s="7" customFormat="1" x14ac:dyDescent="0.2">
      <c r="A27" s="78" t="s">
        <v>60</v>
      </c>
      <c r="B27" s="55">
        <f t="shared" si="0"/>
        <v>0</v>
      </c>
      <c r="C27" s="80"/>
      <c r="D27" s="1"/>
      <c r="E27" s="1"/>
      <c r="F27" s="1"/>
      <c r="G27" s="1"/>
      <c r="H27" s="1"/>
      <c r="I27" s="1"/>
      <c r="J27" s="1"/>
      <c r="K27" s="1"/>
      <c r="L27" s="1"/>
      <c r="M27" s="1"/>
      <c r="O27" s="1"/>
      <c r="P27" s="1"/>
      <c r="Q27" s="1"/>
      <c r="R27" s="1"/>
      <c r="S27" s="1"/>
    </row>
    <row r="28" spans="1:19" x14ac:dyDescent="0.2">
      <c r="A28" s="78" t="s">
        <v>20</v>
      </c>
      <c r="B28" s="55">
        <f t="shared" si="0"/>
        <v>0</v>
      </c>
      <c r="C28" s="80"/>
      <c r="D28" s="1"/>
      <c r="R28" s="1"/>
      <c r="S28" s="1"/>
    </row>
    <row r="29" spans="1:19" x14ac:dyDescent="0.2">
      <c r="A29" s="78" t="s">
        <v>29</v>
      </c>
      <c r="B29" s="55">
        <f t="shared" si="0"/>
        <v>0</v>
      </c>
      <c r="C29" s="80"/>
      <c r="D29" s="1"/>
      <c r="R29" s="1"/>
      <c r="S29" s="1"/>
    </row>
    <row r="30" spans="1:19" s="7" customFormat="1" x14ac:dyDescent="0.2">
      <c r="A30" s="77" t="s">
        <v>99</v>
      </c>
      <c r="B30" s="55">
        <f t="shared" si="0"/>
        <v>0</v>
      </c>
      <c r="C30" s="80"/>
      <c r="D30" s="1"/>
      <c r="E30" s="1"/>
      <c r="F30" s="1"/>
      <c r="G30" s="1"/>
      <c r="H30" s="1"/>
      <c r="I30" s="1"/>
      <c r="J30" s="1"/>
      <c r="K30" s="1"/>
      <c r="L30" s="1"/>
      <c r="M30" s="1"/>
      <c r="O30" s="1"/>
      <c r="P30" s="1"/>
      <c r="Q30" s="1"/>
      <c r="R30" s="1"/>
      <c r="S30" s="1"/>
    </row>
    <row r="31" spans="1:19" x14ac:dyDescent="0.2">
      <c r="A31" s="79" t="s">
        <v>9</v>
      </c>
      <c r="B31" s="55">
        <f t="shared" si="0"/>
        <v>0</v>
      </c>
      <c r="C31" s="80"/>
      <c r="D31" s="1"/>
      <c r="R31" s="1"/>
      <c r="S31" s="1"/>
    </row>
    <row r="32" spans="1:19" x14ac:dyDescent="0.2">
      <c r="A32" s="79" t="s">
        <v>10</v>
      </c>
      <c r="B32" s="55">
        <f t="shared" si="0"/>
        <v>0</v>
      </c>
      <c r="C32" s="80"/>
      <c r="D32" s="1"/>
      <c r="R32" s="1"/>
      <c r="S32" s="1"/>
    </row>
    <row r="33" spans="1:19" s="7" customFormat="1" x14ac:dyDescent="0.2">
      <c r="A33" s="79" t="s">
        <v>11</v>
      </c>
      <c r="B33" s="55">
        <f t="shared" si="0"/>
        <v>0</v>
      </c>
      <c r="C33" s="80"/>
      <c r="D33" s="1"/>
      <c r="E33" s="1"/>
      <c r="F33" s="1"/>
      <c r="G33" s="1"/>
      <c r="H33" s="1"/>
      <c r="I33" s="1"/>
      <c r="J33" s="1"/>
      <c r="K33" s="1"/>
      <c r="L33" s="1"/>
      <c r="M33" s="1"/>
      <c r="O33" s="1"/>
      <c r="P33" s="1"/>
      <c r="Q33" s="1"/>
      <c r="R33" s="1"/>
      <c r="S33" s="1"/>
    </row>
    <row r="34" spans="1:19" x14ac:dyDescent="0.2">
      <c r="A34" s="78" t="s">
        <v>13</v>
      </c>
      <c r="B34" s="55">
        <f t="shared" si="0"/>
        <v>0</v>
      </c>
      <c r="C34" s="80"/>
      <c r="D34" s="1"/>
      <c r="R34" s="1"/>
      <c r="S34" s="1"/>
    </row>
    <row r="35" spans="1:19" x14ac:dyDescent="0.2">
      <c r="A35" s="78" t="s">
        <v>14</v>
      </c>
      <c r="B35" s="55">
        <f t="shared" si="0"/>
        <v>0</v>
      </c>
      <c r="C35" s="80"/>
      <c r="D35" s="1"/>
      <c r="R35" s="1"/>
      <c r="S35" s="1"/>
    </row>
    <row r="36" spans="1:19" x14ac:dyDescent="0.2">
      <c r="A36" s="78" t="s">
        <v>15</v>
      </c>
      <c r="B36" s="55">
        <f t="shared" si="0"/>
        <v>0</v>
      </c>
      <c r="C36" s="80"/>
      <c r="D36" s="1"/>
      <c r="R36" s="1"/>
      <c r="S36" s="1"/>
    </row>
    <row r="37" spans="1:19" x14ac:dyDescent="0.2">
      <c r="D37" s="1"/>
      <c r="R37" s="1"/>
      <c r="S37" s="1"/>
    </row>
    <row r="38" spans="1:19" x14ac:dyDescent="0.2">
      <c r="D38" s="1"/>
      <c r="R38" s="1"/>
      <c r="S38" s="1"/>
    </row>
    <row r="39" spans="1:19" x14ac:dyDescent="0.2">
      <c r="A39" s="1" t="s">
        <v>91</v>
      </c>
      <c r="D39" s="1"/>
      <c r="R39" s="1"/>
      <c r="S39" s="1"/>
    </row>
    <row r="40" spans="1:19" x14ac:dyDescent="0.2">
      <c r="D40" s="2"/>
      <c r="E40" s="2"/>
      <c r="R40" s="1"/>
      <c r="S40" s="1"/>
    </row>
    <row r="41" spans="1:19" x14ac:dyDescent="0.2">
      <c r="D41" s="2"/>
      <c r="E41" s="2"/>
      <c r="R41" s="1"/>
      <c r="S41" s="1"/>
    </row>
    <row r="42" spans="1:19" x14ac:dyDescent="0.2">
      <c r="D42" s="1"/>
      <c r="K42" s="2"/>
      <c r="L42" s="2"/>
    </row>
  </sheetData>
  <sheetProtection formatCells="0" formatColumns="0" formatRows="0" insertColumns="0" deleteColumns="0"/>
  <conditionalFormatting sqref="I10:J19 E10:F19 E3:F7 E21:F36 C21:C36">
    <cfRule type="cellIs" dxfId="158" priority="157" operator="equal">
      <formula>0</formula>
    </cfRule>
  </conditionalFormatting>
  <conditionalFormatting sqref="I3:I7 I21:I36">
    <cfRule type="cellIs" dxfId="157" priority="155" operator="equal">
      <formula>0</formula>
    </cfRule>
  </conditionalFormatting>
  <conditionalFormatting sqref="J3:J7 J21:J36">
    <cfRule type="cellIs" dxfId="156" priority="154" operator="equal">
      <formula>0</formula>
    </cfRule>
  </conditionalFormatting>
  <conditionalFormatting sqref="G10:G19 G21:G36 G3:G7">
    <cfRule type="cellIs" dxfId="155" priority="7" operator="equal">
      <formula>0</formula>
    </cfRule>
  </conditionalFormatting>
  <conditionalFormatting sqref="H10:H19 H21:H36 H3:H7">
    <cfRule type="cellIs" dxfId="154" priority="6" operator="equal">
      <formula>0</formula>
    </cfRule>
  </conditionalFormatting>
  <conditionalFormatting sqref="D10:D19 D3:D7 D21:D36">
    <cfRule type="cellIs" dxfId="153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1771650</xdr:colOff>
                    <xdr:row>38</xdr:row>
                    <xdr:rowOff>19050</xdr:rowOff>
                  </from>
                  <to>
                    <xdr:col>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00B050"/>
    <pageSetUpPr fitToPage="1"/>
  </sheetPr>
  <dimension ref="A1:Q189"/>
  <sheetViews>
    <sheetView zoomScale="130" zoomScaleNormal="130" workbookViewId="0">
      <pane ySplit="2" topLeftCell="A3" activePane="bottomLeft" state="frozen"/>
      <selection pane="bottomLeft" activeCell="C3" sqref="C3"/>
    </sheetView>
  </sheetViews>
  <sheetFormatPr defaultColWidth="8.85546875" defaultRowHeight="12.75" x14ac:dyDescent="0.2"/>
  <cols>
    <col min="1" max="1" width="43.28515625" style="1" customWidth="1"/>
    <col min="2" max="2" width="19.140625" style="1" customWidth="1"/>
    <col min="3" max="3" width="18.5703125" style="1" customWidth="1"/>
    <col min="4" max="4" width="20.28515625" style="1" customWidth="1"/>
    <col min="5" max="5" width="16.28515625" style="4" customWidth="1"/>
    <col min="6" max="6" width="16.28515625" style="1" customWidth="1"/>
    <col min="7" max="7" width="28.7109375" style="1" bestFit="1" customWidth="1"/>
    <col min="8" max="8" width="10.7109375" style="1" bestFit="1" customWidth="1"/>
    <col min="9" max="9" width="7.140625" style="1" customWidth="1"/>
    <col min="10" max="10" width="12.140625" style="1" customWidth="1"/>
    <col min="11" max="11" width="10.7109375" style="1" customWidth="1"/>
    <col min="12" max="12" width="11" style="1" customWidth="1"/>
    <col min="13" max="13" width="10.5703125" style="1" customWidth="1"/>
    <col min="14" max="14" width="7.42578125" style="1" customWidth="1"/>
    <col min="15" max="15" width="8.140625" style="1" customWidth="1"/>
    <col min="16" max="16" width="7.42578125" style="2" customWidth="1"/>
    <col min="17" max="17" width="10.42578125" style="2" customWidth="1"/>
    <col min="18" max="18" width="11.42578125" style="1" bestFit="1" customWidth="1"/>
    <col min="19" max="21" width="9" style="1" bestFit="1" customWidth="1"/>
    <col min="22" max="22" width="11.42578125" style="1" bestFit="1" customWidth="1"/>
    <col min="23" max="16384" width="8.85546875" style="1"/>
  </cols>
  <sheetData>
    <row r="1" spans="1:17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3" t="str">
        <f>Баланс!K1</f>
        <v>2022 год</v>
      </c>
      <c r="G1" s="14"/>
      <c r="H1" s="17"/>
      <c r="I1" s="18"/>
      <c r="J1" s="18"/>
      <c r="K1" s="5"/>
      <c r="L1" s="5"/>
    </row>
    <row r="2" spans="1:17" s="6" customFormat="1" ht="38.25" x14ac:dyDescent="0.2">
      <c r="A2" s="52" t="s">
        <v>43</v>
      </c>
      <c r="B2" s="53" t="s">
        <v>79</v>
      </c>
      <c r="C2" s="53" t="s">
        <v>78</v>
      </c>
    </row>
    <row r="3" spans="1:17" s="3" customFormat="1" x14ac:dyDescent="0.2">
      <c r="A3" s="54" t="s">
        <v>28</v>
      </c>
      <c r="B3" s="55">
        <f t="shared" ref="B3:B34" si="0">C3*0.14286/1000</f>
        <v>0</v>
      </c>
      <c r="C3" s="55"/>
      <c r="D3" s="1"/>
      <c r="E3" s="1"/>
      <c r="F3" s="1"/>
    </row>
    <row r="4" spans="1:17" x14ac:dyDescent="0.2">
      <c r="A4" s="66" t="s">
        <v>96</v>
      </c>
      <c r="B4" s="55">
        <f t="shared" si="0"/>
        <v>0</v>
      </c>
      <c r="C4" s="55"/>
      <c r="E4" s="1"/>
      <c r="P4" s="1"/>
      <c r="Q4" s="1"/>
    </row>
    <row r="5" spans="1:17" x14ac:dyDescent="0.2">
      <c r="A5" s="66" t="s">
        <v>97</v>
      </c>
      <c r="B5" s="55">
        <f t="shared" si="0"/>
        <v>0</v>
      </c>
      <c r="C5" s="55"/>
      <c r="D5" s="7"/>
      <c r="E5" s="7"/>
      <c r="F5" s="7"/>
      <c r="P5" s="1"/>
      <c r="Q5" s="1"/>
    </row>
    <row r="6" spans="1:17" x14ac:dyDescent="0.2">
      <c r="A6" s="66" t="s">
        <v>98</v>
      </c>
      <c r="B6" s="55">
        <f t="shared" si="0"/>
        <v>0</v>
      </c>
      <c r="C6" s="55"/>
      <c r="D6" s="82"/>
      <c r="E6" s="1"/>
      <c r="F6" s="82"/>
      <c r="P6" s="1"/>
      <c r="Q6" s="1"/>
    </row>
    <row r="7" spans="1:17" x14ac:dyDescent="0.2">
      <c r="A7" s="66" t="s">
        <v>19</v>
      </c>
      <c r="B7" s="55">
        <f t="shared" si="0"/>
        <v>0</v>
      </c>
      <c r="C7" s="55"/>
      <c r="E7" s="1"/>
      <c r="P7" s="1"/>
      <c r="Q7" s="1"/>
    </row>
    <row r="8" spans="1:17" s="7" customFormat="1" x14ac:dyDescent="0.2">
      <c r="A8" s="54" t="s">
        <v>0</v>
      </c>
      <c r="B8" s="55">
        <f t="shared" si="0"/>
        <v>0</v>
      </c>
      <c r="C8" s="55"/>
      <c r="D8" s="8"/>
      <c r="E8" s="8"/>
      <c r="F8" s="8"/>
    </row>
    <row r="9" spans="1:17" x14ac:dyDescent="0.2">
      <c r="A9" s="54" t="s">
        <v>1</v>
      </c>
      <c r="B9" s="55">
        <f t="shared" si="0"/>
        <v>0</v>
      </c>
      <c r="C9" s="55"/>
      <c r="E9" s="1"/>
      <c r="P9" s="1"/>
      <c r="Q9" s="1"/>
    </row>
    <row r="10" spans="1:17" x14ac:dyDescent="0.2">
      <c r="A10" s="54" t="s">
        <v>2</v>
      </c>
      <c r="B10" s="55">
        <f t="shared" si="0"/>
        <v>0</v>
      </c>
      <c r="C10" s="55"/>
      <c r="E10" s="1"/>
      <c r="P10" s="1"/>
      <c r="Q10" s="1"/>
    </row>
    <row r="11" spans="1:17" s="8" customFormat="1" x14ac:dyDescent="0.2">
      <c r="A11" s="54" t="s">
        <v>18</v>
      </c>
      <c r="B11" s="59">
        <f t="shared" si="0"/>
        <v>0</v>
      </c>
      <c r="C11" s="59">
        <f>C3+C8-C9+C10</f>
        <v>0</v>
      </c>
      <c r="D11" s="7"/>
      <c r="E11" s="7"/>
      <c r="F11" s="7"/>
    </row>
    <row r="12" spans="1:17" s="3" customFormat="1" x14ac:dyDescent="0.2">
      <c r="A12" s="67" t="s">
        <v>24</v>
      </c>
      <c r="B12" s="59">
        <f t="shared" si="0"/>
        <v>0</v>
      </c>
      <c r="C12" s="59">
        <f>C11-C13-C14-C15-C16-C17-C18</f>
        <v>0</v>
      </c>
      <c r="D12" s="1"/>
      <c r="E12" s="1"/>
      <c r="F12" s="1"/>
    </row>
    <row r="13" spans="1:17" x14ac:dyDescent="0.2">
      <c r="A13" s="57" t="s">
        <v>4</v>
      </c>
      <c r="B13" s="55">
        <f t="shared" si="0"/>
        <v>0</v>
      </c>
      <c r="C13" s="55"/>
      <c r="E13" s="1"/>
      <c r="P13" s="1"/>
      <c r="Q13" s="1"/>
    </row>
    <row r="14" spans="1:17" x14ac:dyDescent="0.2">
      <c r="A14" s="57" t="s">
        <v>5</v>
      </c>
      <c r="B14" s="55">
        <f t="shared" si="0"/>
        <v>0</v>
      </c>
      <c r="C14" s="55"/>
      <c r="D14" s="7"/>
      <c r="E14" s="7"/>
      <c r="F14" s="7"/>
      <c r="P14" s="1"/>
      <c r="Q14" s="1"/>
    </row>
    <row r="15" spans="1:17" s="7" customFormat="1" x14ac:dyDescent="0.2">
      <c r="A15" s="57" t="s">
        <v>27</v>
      </c>
      <c r="B15" s="55">
        <f t="shared" si="0"/>
        <v>0</v>
      </c>
      <c r="C15" s="55"/>
      <c r="D15" s="1"/>
      <c r="E15" s="1"/>
      <c r="F15" s="1"/>
    </row>
    <row r="16" spans="1:17" x14ac:dyDescent="0.2">
      <c r="A16" s="57" t="s">
        <v>6</v>
      </c>
      <c r="B16" s="55">
        <f t="shared" si="0"/>
        <v>0</v>
      </c>
      <c r="C16" s="55"/>
      <c r="E16" s="1"/>
      <c r="P16" s="1"/>
      <c r="Q16" s="1"/>
    </row>
    <row r="17" spans="1:17" x14ac:dyDescent="0.2">
      <c r="A17" s="57" t="s">
        <v>22</v>
      </c>
      <c r="B17" s="55">
        <f t="shared" si="0"/>
        <v>0</v>
      </c>
      <c r="C17" s="55"/>
      <c r="D17" s="7"/>
      <c r="E17" s="7"/>
      <c r="F17" s="7"/>
      <c r="P17" s="1"/>
      <c r="Q17" s="1"/>
    </row>
    <row r="18" spans="1:17" s="8" customFormat="1" x14ac:dyDescent="0.2">
      <c r="A18" s="57" t="s">
        <v>7</v>
      </c>
      <c r="B18" s="59">
        <f t="shared" si="0"/>
        <v>0</v>
      </c>
      <c r="C18" s="59">
        <f>C19+C20+C26+C27+C32+C33+C34</f>
        <v>0</v>
      </c>
      <c r="D18" s="1"/>
      <c r="E18" s="1"/>
      <c r="F18" s="1"/>
    </row>
    <row r="19" spans="1:17" x14ac:dyDescent="0.2">
      <c r="A19" s="60" t="s">
        <v>12</v>
      </c>
      <c r="B19" s="55">
        <f t="shared" si="0"/>
        <v>0</v>
      </c>
      <c r="C19" s="55"/>
      <c r="E19" s="1"/>
      <c r="P19" s="1"/>
      <c r="Q19" s="1"/>
    </row>
    <row r="20" spans="1:17" x14ac:dyDescent="0.2">
      <c r="A20" s="60" t="s">
        <v>53</v>
      </c>
      <c r="B20" s="55">
        <f t="shared" si="0"/>
        <v>0</v>
      </c>
      <c r="C20" s="55"/>
      <c r="D20" s="7"/>
      <c r="E20" s="8"/>
      <c r="F20" s="7"/>
      <c r="J20" s="82"/>
      <c r="P20" s="1"/>
      <c r="Q20" s="1"/>
    </row>
    <row r="21" spans="1:17" x14ac:dyDescent="0.2">
      <c r="A21" s="60" t="s">
        <v>56</v>
      </c>
      <c r="B21" s="55">
        <f t="shared" si="0"/>
        <v>0</v>
      </c>
      <c r="C21" s="55"/>
      <c r="E21" s="1"/>
      <c r="P21" s="1"/>
      <c r="Q21" s="1"/>
    </row>
    <row r="22" spans="1:17" x14ac:dyDescent="0.2">
      <c r="A22" s="60" t="s">
        <v>57</v>
      </c>
      <c r="B22" s="55">
        <f t="shared" si="0"/>
        <v>0</v>
      </c>
      <c r="C22" s="55"/>
      <c r="E22" s="1"/>
      <c r="P22" s="1"/>
      <c r="Q22" s="1"/>
    </row>
    <row r="23" spans="1:17" x14ac:dyDescent="0.2">
      <c r="A23" s="60" t="s">
        <v>58</v>
      </c>
      <c r="B23" s="55">
        <f t="shared" si="0"/>
        <v>0</v>
      </c>
      <c r="C23" s="55"/>
      <c r="D23" s="7"/>
      <c r="E23" s="1"/>
      <c r="F23" s="7"/>
      <c r="P23" s="1"/>
      <c r="Q23" s="1"/>
    </row>
    <row r="24" spans="1:17" s="7" customFormat="1" ht="25.5" x14ac:dyDescent="0.2">
      <c r="A24" s="60" t="s">
        <v>59</v>
      </c>
      <c r="B24" s="55">
        <f t="shared" si="0"/>
        <v>0</v>
      </c>
      <c r="C24" s="55"/>
      <c r="D24" s="1"/>
      <c r="E24" s="1"/>
      <c r="F24" s="1"/>
      <c r="I24" s="82"/>
    </row>
    <row r="25" spans="1:17" s="7" customFormat="1" x14ac:dyDescent="0.2">
      <c r="A25" s="60" t="s">
        <v>60</v>
      </c>
      <c r="B25" s="55">
        <f t="shared" si="0"/>
        <v>0</v>
      </c>
      <c r="C25" s="55"/>
      <c r="E25" s="1"/>
    </row>
    <row r="26" spans="1:17" x14ac:dyDescent="0.2">
      <c r="A26" s="60" t="s">
        <v>20</v>
      </c>
      <c r="B26" s="55">
        <f t="shared" si="0"/>
        <v>0</v>
      </c>
      <c r="C26" s="55"/>
      <c r="E26" s="7"/>
      <c r="P26" s="1"/>
      <c r="Q26" s="1"/>
    </row>
    <row r="27" spans="1:17" x14ac:dyDescent="0.2">
      <c r="A27" s="60" t="s">
        <v>29</v>
      </c>
      <c r="B27" s="55">
        <f t="shared" si="0"/>
        <v>0</v>
      </c>
      <c r="C27" s="55"/>
      <c r="E27" s="7"/>
      <c r="P27" s="1"/>
      <c r="Q27" s="1"/>
    </row>
    <row r="28" spans="1:17" s="7" customFormat="1" x14ac:dyDescent="0.2">
      <c r="A28" s="61" t="s">
        <v>8</v>
      </c>
      <c r="B28" s="55">
        <f t="shared" si="0"/>
        <v>0</v>
      </c>
      <c r="C28" s="55"/>
      <c r="E28" s="1"/>
    </row>
    <row r="29" spans="1:17" x14ac:dyDescent="0.2">
      <c r="A29" s="61" t="s">
        <v>9</v>
      </c>
      <c r="B29" s="55">
        <f t="shared" si="0"/>
        <v>0</v>
      </c>
      <c r="C29" s="55"/>
      <c r="E29" s="1"/>
      <c r="P29" s="1"/>
      <c r="Q29" s="1"/>
    </row>
    <row r="30" spans="1:17" x14ac:dyDescent="0.2">
      <c r="A30" s="61" t="s">
        <v>10</v>
      </c>
      <c r="B30" s="55">
        <f t="shared" si="0"/>
        <v>0</v>
      </c>
      <c r="C30" s="55"/>
      <c r="D30" s="7"/>
      <c r="E30" s="7"/>
      <c r="F30" s="7"/>
      <c r="J30" s="82"/>
      <c r="P30" s="1"/>
      <c r="Q30" s="1"/>
    </row>
    <row r="31" spans="1:17" s="7" customFormat="1" x14ac:dyDescent="0.2">
      <c r="A31" s="61" t="s">
        <v>11</v>
      </c>
      <c r="B31" s="55">
        <f t="shared" si="0"/>
        <v>0</v>
      </c>
      <c r="C31" s="55"/>
      <c r="D31" s="1"/>
      <c r="E31" s="1"/>
      <c r="F31" s="1"/>
    </row>
    <row r="32" spans="1:17" x14ac:dyDescent="0.2">
      <c r="A32" s="60" t="s">
        <v>13</v>
      </c>
      <c r="B32" s="55">
        <f t="shared" si="0"/>
        <v>0</v>
      </c>
      <c r="C32" s="55"/>
      <c r="E32" s="1"/>
      <c r="P32" s="1"/>
      <c r="Q32" s="1"/>
    </row>
    <row r="33" spans="1:17" x14ac:dyDescent="0.2">
      <c r="A33" s="60" t="s">
        <v>14</v>
      </c>
      <c r="B33" s="55">
        <f t="shared" si="0"/>
        <v>0</v>
      </c>
      <c r="C33" s="55"/>
      <c r="D33" s="7"/>
      <c r="E33" s="7"/>
      <c r="F33" s="7"/>
      <c r="P33" s="1"/>
      <c r="Q33" s="1"/>
    </row>
    <row r="34" spans="1:17" x14ac:dyDescent="0.2">
      <c r="A34" s="60" t="s">
        <v>15</v>
      </c>
      <c r="B34" s="55">
        <f t="shared" si="0"/>
        <v>0</v>
      </c>
      <c r="C34" s="55"/>
      <c r="E34" s="1"/>
      <c r="P34" s="1"/>
      <c r="Q34" s="1"/>
    </row>
    <row r="35" spans="1:17" x14ac:dyDescent="0.2">
      <c r="E35" s="1"/>
      <c r="P35" s="1"/>
      <c r="Q35" s="1"/>
    </row>
    <row r="36" spans="1:17" x14ac:dyDescent="0.2">
      <c r="E36" s="1"/>
      <c r="P36" s="1"/>
      <c r="Q36" s="1"/>
    </row>
    <row r="37" spans="1:17" x14ac:dyDescent="0.2">
      <c r="E37" s="1"/>
      <c r="J37" s="2"/>
      <c r="K37" s="2"/>
    </row>
    <row r="38" spans="1:17" x14ac:dyDescent="0.2">
      <c r="E38" s="1"/>
      <c r="J38" s="2"/>
      <c r="K38" s="2"/>
    </row>
    <row r="39" spans="1:17" x14ac:dyDescent="0.2">
      <c r="E39" s="1"/>
    </row>
    <row r="40" spans="1:17" x14ac:dyDescent="0.2">
      <c r="E40" s="1"/>
    </row>
    <row r="41" spans="1:17" x14ac:dyDescent="0.2">
      <c r="E41" s="1"/>
    </row>
    <row r="42" spans="1:17" x14ac:dyDescent="0.2">
      <c r="E42" s="1"/>
    </row>
    <row r="43" spans="1:17" x14ac:dyDescent="0.2">
      <c r="E43" s="1"/>
    </row>
    <row r="44" spans="1:17" x14ac:dyDescent="0.2">
      <c r="E44" s="1"/>
    </row>
    <row r="45" spans="1:17" x14ac:dyDescent="0.2">
      <c r="E45" s="1"/>
    </row>
    <row r="46" spans="1:17" x14ac:dyDescent="0.2">
      <c r="E46" s="1"/>
    </row>
    <row r="47" spans="1:17" x14ac:dyDescent="0.2">
      <c r="E47" s="1"/>
    </row>
    <row r="48" spans="1:17" x14ac:dyDescent="0.2">
      <c r="E48" s="1"/>
    </row>
    <row r="49" spans="5:5" x14ac:dyDescent="0.2">
      <c r="E49" s="1"/>
    </row>
    <row r="50" spans="5:5" x14ac:dyDescent="0.2">
      <c r="E50" s="1"/>
    </row>
    <row r="51" spans="5:5" x14ac:dyDescent="0.2">
      <c r="E51" s="1"/>
    </row>
    <row r="52" spans="5:5" x14ac:dyDescent="0.2">
      <c r="E52" s="1"/>
    </row>
    <row r="53" spans="5:5" x14ac:dyDescent="0.2">
      <c r="E53" s="1"/>
    </row>
    <row r="54" spans="5:5" x14ac:dyDescent="0.2">
      <c r="E54" s="1"/>
    </row>
    <row r="55" spans="5:5" x14ac:dyDescent="0.2">
      <c r="E55" s="1"/>
    </row>
    <row r="56" spans="5:5" x14ac:dyDescent="0.2">
      <c r="E56" s="1"/>
    </row>
    <row r="57" spans="5:5" x14ac:dyDescent="0.2">
      <c r="E57" s="1"/>
    </row>
    <row r="58" spans="5:5" x14ac:dyDescent="0.2">
      <c r="E58" s="1"/>
    </row>
    <row r="59" spans="5:5" x14ac:dyDescent="0.2">
      <c r="E59" s="1"/>
    </row>
    <row r="60" spans="5:5" x14ac:dyDescent="0.2">
      <c r="E60" s="1"/>
    </row>
    <row r="61" spans="5:5" x14ac:dyDescent="0.2">
      <c r="E61" s="1"/>
    </row>
    <row r="62" spans="5:5" x14ac:dyDescent="0.2">
      <c r="E62" s="1"/>
    </row>
    <row r="63" spans="5:5" x14ac:dyDescent="0.2">
      <c r="E63" s="1"/>
    </row>
    <row r="64" spans="5:5" x14ac:dyDescent="0.2">
      <c r="E64" s="1"/>
    </row>
    <row r="65" spans="5:5" x14ac:dyDescent="0.2">
      <c r="E65" s="1"/>
    </row>
    <row r="66" spans="5:5" x14ac:dyDescent="0.2">
      <c r="E66" s="1"/>
    </row>
    <row r="67" spans="5:5" x14ac:dyDescent="0.2">
      <c r="E67" s="1"/>
    </row>
    <row r="68" spans="5:5" x14ac:dyDescent="0.2">
      <c r="E68" s="1"/>
    </row>
    <row r="69" spans="5:5" x14ac:dyDescent="0.2">
      <c r="E69" s="1"/>
    </row>
    <row r="70" spans="5:5" x14ac:dyDescent="0.2">
      <c r="E70" s="1"/>
    </row>
    <row r="71" spans="5:5" x14ac:dyDescent="0.2">
      <c r="E71" s="1"/>
    </row>
    <row r="72" spans="5:5" x14ac:dyDescent="0.2">
      <c r="E72" s="1"/>
    </row>
    <row r="73" spans="5:5" x14ac:dyDescent="0.2">
      <c r="E73" s="1"/>
    </row>
    <row r="74" spans="5:5" x14ac:dyDescent="0.2">
      <c r="E74" s="1"/>
    </row>
    <row r="75" spans="5:5" x14ac:dyDescent="0.2">
      <c r="E75" s="1"/>
    </row>
    <row r="76" spans="5:5" x14ac:dyDescent="0.2">
      <c r="E76" s="1"/>
    </row>
    <row r="77" spans="5:5" x14ac:dyDescent="0.2">
      <c r="E77" s="1"/>
    </row>
    <row r="78" spans="5:5" x14ac:dyDescent="0.2">
      <c r="E78" s="1"/>
    </row>
    <row r="79" spans="5:5" x14ac:dyDescent="0.2">
      <c r="E79" s="1"/>
    </row>
    <row r="80" spans="5:5" x14ac:dyDescent="0.2">
      <c r="E80" s="1"/>
    </row>
    <row r="81" spans="5:5" x14ac:dyDescent="0.2">
      <c r="E81" s="1"/>
    </row>
    <row r="82" spans="5:5" x14ac:dyDescent="0.2">
      <c r="E82" s="1"/>
    </row>
    <row r="83" spans="5:5" x14ac:dyDescent="0.2">
      <c r="E83" s="1"/>
    </row>
    <row r="84" spans="5:5" x14ac:dyDescent="0.2">
      <c r="E84" s="1"/>
    </row>
    <row r="85" spans="5:5" x14ac:dyDescent="0.2">
      <c r="E85" s="1"/>
    </row>
    <row r="86" spans="5:5" x14ac:dyDescent="0.2">
      <c r="E86" s="1"/>
    </row>
    <row r="87" spans="5:5" x14ac:dyDescent="0.2">
      <c r="E87" s="1"/>
    </row>
    <row r="88" spans="5:5" x14ac:dyDescent="0.2">
      <c r="E88" s="1"/>
    </row>
    <row r="89" spans="5:5" x14ac:dyDescent="0.2">
      <c r="E89" s="1"/>
    </row>
    <row r="90" spans="5:5" x14ac:dyDescent="0.2">
      <c r="E90" s="1"/>
    </row>
    <row r="91" spans="5:5" x14ac:dyDescent="0.2">
      <c r="E91" s="1"/>
    </row>
    <row r="92" spans="5:5" x14ac:dyDescent="0.2">
      <c r="E92" s="1"/>
    </row>
    <row r="93" spans="5:5" x14ac:dyDescent="0.2">
      <c r="E93" s="1"/>
    </row>
    <row r="94" spans="5:5" x14ac:dyDescent="0.2">
      <c r="E94" s="1"/>
    </row>
    <row r="95" spans="5:5" x14ac:dyDescent="0.2">
      <c r="E95" s="1"/>
    </row>
    <row r="96" spans="5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  <row r="100" spans="5:5" x14ac:dyDescent="0.2">
      <c r="E100" s="1"/>
    </row>
    <row r="101" spans="5:5" x14ac:dyDescent="0.2">
      <c r="E101" s="1"/>
    </row>
    <row r="102" spans="5:5" x14ac:dyDescent="0.2">
      <c r="E102" s="1"/>
    </row>
    <row r="103" spans="5:5" x14ac:dyDescent="0.2">
      <c r="E103" s="1"/>
    </row>
    <row r="104" spans="5:5" x14ac:dyDescent="0.2">
      <c r="E104" s="1"/>
    </row>
    <row r="105" spans="5:5" x14ac:dyDescent="0.2">
      <c r="E105" s="1"/>
    </row>
    <row r="106" spans="5:5" x14ac:dyDescent="0.2">
      <c r="E106" s="1"/>
    </row>
    <row r="107" spans="5:5" x14ac:dyDescent="0.2">
      <c r="E107" s="1"/>
    </row>
    <row r="108" spans="5:5" x14ac:dyDescent="0.2">
      <c r="E108" s="1"/>
    </row>
    <row r="109" spans="5:5" x14ac:dyDescent="0.2">
      <c r="E109" s="1"/>
    </row>
    <row r="110" spans="5:5" x14ac:dyDescent="0.2">
      <c r="E110" s="1"/>
    </row>
    <row r="111" spans="5:5" x14ac:dyDescent="0.2">
      <c r="E111" s="1"/>
    </row>
    <row r="112" spans="5:5" x14ac:dyDescent="0.2">
      <c r="E112" s="1"/>
    </row>
    <row r="113" spans="5:5" x14ac:dyDescent="0.2">
      <c r="E113" s="1"/>
    </row>
    <row r="114" spans="5:5" x14ac:dyDescent="0.2">
      <c r="E114" s="1"/>
    </row>
    <row r="115" spans="5:5" x14ac:dyDescent="0.2">
      <c r="E115" s="1"/>
    </row>
    <row r="116" spans="5:5" x14ac:dyDescent="0.2">
      <c r="E116" s="1"/>
    </row>
    <row r="117" spans="5:5" x14ac:dyDescent="0.2">
      <c r="E117" s="1"/>
    </row>
    <row r="118" spans="5:5" x14ac:dyDescent="0.2">
      <c r="E118" s="1"/>
    </row>
    <row r="119" spans="5:5" x14ac:dyDescent="0.2">
      <c r="E119" s="1"/>
    </row>
    <row r="120" spans="5:5" x14ac:dyDescent="0.2">
      <c r="E120" s="1"/>
    </row>
    <row r="121" spans="5:5" x14ac:dyDescent="0.2">
      <c r="E121" s="1"/>
    </row>
    <row r="122" spans="5:5" x14ac:dyDescent="0.2">
      <c r="E122" s="1"/>
    </row>
    <row r="123" spans="5:5" x14ac:dyDescent="0.2">
      <c r="E123" s="1"/>
    </row>
    <row r="124" spans="5:5" x14ac:dyDescent="0.2">
      <c r="E124" s="1"/>
    </row>
    <row r="125" spans="5:5" x14ac:dyDescent="0.2">
      <c r="E125" s="1"/>
    </row>
    <row r="126" spans="5:5" x14ac:dyDescent="0.2">
      <c r="E126" s="1"/>
    </row>
    <row r="127" spans="5:5" x14ac:dyDescent="0.2">
      <c r="E127" s="1"/>
    </row>
    <row r="128" spans="5:5" x14ac:dyDescent="0.2">
      <c r="E128" s="1"/>
    </row>
    <row r="129" spans="5:5" x14ac:dyDescent="0.2">
      <c r="E129" s="1"/>
    </row>
    <row r="130" spans="5:5" x14ac:dyDescent="0.2">
      <c r="E130" s="1"/>
    </row>
    <row r="131" spans="5:5" x14ac:dyDescent="0.2">
      <c r="E131" s="1"/>
    </row>
    <row r="132" spans="5:5" x14ac:dyDescent="0.2">
      <c r="E132" s="1"/>
    </row>
    <row r="133" spans="5:5" x14ac:dyDescent="0.2">
      <c r="E133" s="1"/>
    </row>
    <row r="134" spans="5:5" x14ac:dyDescent="0.2">
      <c r="E134" s="1"/>
    </row>
    <row r="135" spans="5:5" x14ac:dyDescent="0.2">
      <c r="E135" s="1"/>
    </row>
    <row r="136" spans="5:5" x14ac:dyDescent="0.2">
      <c r="E136" s="1"/>
    </row>
    <row r="137" spans="5:5" x14ac:dyDescent="0.2">
      <c r="E137" s="1"/>
    </row>
    <row r="138" spans="5:5" x14ac:dyDescent="0.2">
      <c r="E138" s="1"/>
    </row>
    <row r="139" spans="5:5" x14ac:dyDescent="0.2">
      <c r="E139" s="1"/>
    </row>
    <row r="140" spans="5:5" x14ac:dyDescent="0.2">
      <c r="E140" s="1"/>
    </row>
    <row r="141" spans="5:5" x14ac:dyDescent="0.2">
      <c r="E141" s="1"/>
    </row>
    <row r="142" spans="5:5" x14ac:dyDescent="0.2">
      <c r="E142" s="1"/>
    </row>
    <row r="143" spans="5:5" x14ac:dyDescent="0.2">
      <c r="E143" s="1"/>
    </row>
    <row r="144" spans="5:5" x14ac:dyDescent="0.2">
      <c r="E144" s="1"/>
    </row>
    <row r="145" spans="5:5" x14ac:dyDescent="0.2">
      <c r="E145" s="1"/>
    </row>
    <row r="146" spans="5:5" x14ac:dyDescent="0.2">
      <c r="E146" s="1"/>
    </row>
    <row r="147" spans="5:5" x14ac:dyDescent="0.2">
      <c r="E147" s="1"/>
    </row>
    <row r="148" spans="5:5" x14ac:dyDescent="0.2">
      <c r="E148" s="1"/>
    </row>
    <row r="149" spans="5:5" x14ac:dyDescent="0.2">
      <c r="E149" s="1"/>
    </row>
    <row r="150" spans="5:5" x14ac:dyDescent="0.2">
      <c r="E150" s="1"/>
    </row>
    <row r="151" spans="5:5" x14ac:dyDescent="0.2">
      <c r="E151" s="1"/>
    </row>
    <row r="152" spans="5:5" x14ac:dyDescent="0.2">
      <c r="E152" s="1"/>
    </row>
    <row r="153" spans="5:5" x14ac:dyDescent="0.2">
      <c r="E153" s="1"/>
    </row>
    <row r="154" spans="5:5" x14ac:dyDescent="0.2">
      <c r="E154" s="1"/>
    </row>
    <row r="155" spans="5:5" x14ac:dyDescent="0.2">
      <c r="E155" s="1"/>
    </row>
    <row r="156" spans="5:5" x14ac:dyDescent="0.2">
      <c r="E156" s="1"/>
    </row>
    <row r="157" spans="5:5" x14ac:dyDescent="0.2">
      <c r="E157" s="1"/>
    </row>
    <row r="158" spans="5:5" x14ac:dyDescent="0.2">
      <c r="E158" s="1"/>
    </row>
    <row r="159" spans="5:5" x14ac:dyDescent="0.2">
      <c r="E159" s="1"/>
    </row>
    <row r="160" spans="5:5" x14ac:dyDescent="0.2">
      <c r="E160" s="1"/>
    </row>
    <row r="161" spans="5:5" x14ac:dyDescent="0.2">
      <c r="E161" s="1"/>
    </row>
    <row r="162" spans="5:5" x14ac:dyDescent="0.2">
      <c r="E162" s="1"/>
    </row>
    <row r="163" spans="5:5" x14ac:dyDescent="0.2">
      <c r="E163" s="1"/>
    </row>
    <row r="164" spans="5:5" x14ac:dyDescent="0.2">
      <c r="E164" s="1"/>
    </row>
    <row r="165" spans="5:5" x14ac:dyDescent="0.2">
      <c r="E165" s="1"/>
    </row>
    <row r="166" spans="5:5" x14ac:dyDescent="0.2">
      <c r="E166" s="1"/>
    </row>
    <row r="167" spans="5:5" x14ac:dyDescent="0.2">
      <c r="E167" s="1"/>
    </row>
    <row r="168" spans="5:5" x14ac:dyDescent="0.2">
      <c r="E168" s="1"/>
    </row>
    <row r="169" spans="5:5" x14ac:dyDescent="0.2">
      <c r="E169" s="1"/>
    </row>
    <row r="170" spans="5:5" x14ac:dyDescent="0.2">
      <c r="E170" s="1"/>
    </row>
    <row r="171" spans="5:5" x14ac:dyDescent="0.2">
      <c r="E171" s="1"/>
    </row>
    <row r="172" spans="5:5" x14ac:dyDescent="0.2">
      <c r="E172" s="1"/>
    </row>
    <row r="173" spans="5:5" x14ac:dyDescent="0.2">
      <c r="E173" s="1"/>
    </row>
    <row r="174" spans="5:5" x14ac:dyDescent="0.2">
      <c r="E174" s="1"/>
    </row>
    <row r="175" spans="5:5" x14ac:dyDescent="0.2">
      <c r="E175" s="1"/>
    </row>
    <row r="176" spans="5:5" x14ac:dyDescent="0.2">
      <c r="E176" s="1"/>
    </row>
    <row r="177" spans="5:5" x14ac:dyDescent="0.2">
      <c r="E177" s="1"/>
    </row>
    <row r="178" spans="5:5" x14ac:dyDescent="0.2">
      <c r="E178" s="1"/>
    </row>
    <row r="179" spans="5:5" x14ac:dyDescent="0.2">
      <c r="E179" s="1"/>
    </row>
    <row r="180" spans="5:5" x14ac:dyDescent="0.2">
      <c r="E180" s="1"/>
    </row>
    <row r="181" spans="5:5" x14ac:dyDescent="0.2">
      <c r="E181" s="1"/>
    </row>
    <row r="182" spans="5:5" x14ac:dyDescent="0.2">
      <c r="E182" s="1"/>
    </row>
    <row r="183" spans="5:5" x14ac:dyDescent="0.2">
      <c r="E183" s="1"/>
    </row>
    <row r="184" spans="5:5" x14ac:dyDescent="0.2">
      <c r="E184" s="1"/>
    </row>
    <row r="185" spans="5:5" x14ac:dyDescent="0.2">
      <c r="E185" s="1"/>
    </row>
    <row r="186" spans="5:5" x14ac:dyDescent="0.2">
      <c r="E186" s="1"/>
    </row>
    <row r="187" spans="5:5" x14ac:dyDescent="0.2">
      <c r="E187" s="1"/>
    </row>
    <row r="188" spans="5:5" x14ac:dyDescent="0.2">
      <c r="E188" s="1"/>
    </row>
    <row r="189" spans="5:5" x14ac:dyDescent="0.2">
      <c r="E189" s="1"/>
    </row>
  </sheetData>
  <sheetProtection selectLockedCells="1" selectUnlockedCells="1"/>
  <conditionalFormatting sqref="F3:G7 F21:G36 F10:J19 G3:G36 E3:F34">
    <cfRule type="cellIs" dxfId="152" priority="63" operator="equal">
      <formula>0</formula>
    </cfRule>
  </conditionalFormatting>
  <conditionalFormatting sqref="H3:H7 H21:H36">
    <cfRule type="cellIs" dxfId="151" priority="62" operator="equal">
      <formula>0</formula>
    </cfRule>
  </conditionalFormatting>
  <conditionalFormatting sqref="I3:I7 I21:I36">
    <cfRule type="cellIs" dxfId="150" priority="61" operator="equal">
      <formula>0</formula>
    </cfRule>
  </conditionalFormatting>
  <conditionalFormatting sqref="J3:J7 J21:J36">
    <cfRule type="cellIs" dxfId="149" priority="60" operator="equal">
      <formula>0</formula>
    </cfRule>
  </conditionalFormatting>
  <conditionalFormatting sqref="F3 F7">
    <cfRule type="cellIs" dxfId="148" priority="14" operator="equal">
      <formula>0</formula>
    </cfRule>
  </conditionalFormatting>
  <conditionalFormatting sqref="D3:D34">
    <cfRule type="cellIs" dxfId="147" priority="2" operator="equal">
      <formula>0</formula>
    </cfRule>
  </conditionalFormatting>
  <conditionalFormatting sqref="D3 D7">
    <cfRule type="cellIs" dxfId="146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Кнопка2_Щелчок">
                <anchor moveWithCells="1" sizeWithCells="1">
                  <from>
                    <xdr:col>0</xdr:col>
                    <xdr:colOff>2095500</xdr:colOff>
                    <xdr:row>37</xdr:row>
                    <xdr:rowOff>123825</xdr:rowOff>
                  </from>
                  <to>
                    <xdr:col>3</xdr:col>
                    <xdr:colOff>0</xdr:colOff>
                    <xdr:row>42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rgb="FF00B050"/>
  </sheetPr>
  <dimension ref="A1:M54"/>
  <sheetViews>
    <sheetView tabSelected="1" topLeftCell="A13" zoomScale="115" zoomScaleNormal="115" workbookViewId="0">
      <selection activeCell="G28" sqref="G28"/>
    </sheetView>
  </sheetViews>
  <sheetFormatPr defaultColWidth="8.85546875" defaultRowHeight="12.75" x14ac:dyDescent="0.2"/>
  <cols>
    <col min="1" max="1" width="43.28515625" style="1" customWidth="1"/>
    <col min="2" max="2" width="14.5703125" style="1" customWidth="1"/>
    <col min="3" max="5" width="15.42578125" style="1" customWidth="1"/>
    <col min="6" max="7" width="16.140625" style="1" customWidth="1"/>
    <col min="8" max="8" width="9" style="1" bestFit="1" customWidth="1"/>
    <col min="9" max="9" width="11.42578125" style="1" bestFit="1" customWidth="1"/>
    <col min="10" max="16384" width="8.85546875" style="1"/>
  </cols>
  <sheetData>
    <row r="1" spans="1:11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8" t="s">
        <v>102</v>
      </c>
      <c r="G1" s="14"/>
      <c r="H1" s="17"/>
      <c r="I1" s="18"/>
      <c r="J1" s="18"/>
      <c r="K1" s="5"/>
    </row>
    <row r="2" spans="1:11" s="6" customFormat="1" ht="51" x14ac:dyDescent="0.2">
      <c r="A2" s="52" t="s">
        <v>65</v>
      </c>
      <c r="B2" s="53" t="s">
        <v>87</v>
      </c>
      <c r="C2" s="62" t="s">
        <v>103</v>
      </c>
    </row>
    <row r="3" spans="1:11" x14ac:dyDescent="0.2">
      <c r="A3" s="54" t="s">
        <v>28</v>
      </c>
      <c r="B3" s="55">
        <f>C3*1.154/1000</f>
        <v>0</v>
      </c>
      <c r="C3" s="55"/>
    </row>
    <row r="4" spans="1:11" s="7" customFormat="1" x14ac:dyDescent="0.2">
      <c r="A4" s="54" t="s">
        <v>16</v>
      </c>
      <c r="B4" s="55">
        <f t="shared" ref="B4:B38" si="0">C4*1.154/1000</f>
        <v>0</v>
      </c>
      <c r="C4" s="55"/>
      <c r="D4" s="1"/>
      <c r="E4" s="1"/>
    </row>
    <row r="5" spans="1:11" x14ac:dyDescent="0.2">
      <c r="A5" s="54" t="s">
        <v>17</v>
      </c>
      <c r="B5" s="55">
        <f t="shared" si="0"/>
        <v>0</v>
      </c>
      <c r="C5" s="55"/>
      <c r="D5" s="7"/>
      <c r="E5" s="7"/>
    </row>
    <row r="6" spans="1:11" x14ac:dyDescent="0.2">
      <c r="A6" s="54" t="s">
        <v>2</v>
      </c>
      <c r="B6" s="55">
        <f t="shared" si="0"/>
        <v>0</v>
      </c>
      <c r="C6" s="55"/>
    </row>
    <row r="7" spans="1:11" s="8" customFormat="1" x14ac:dyDescent="0.2">
      <c r="A7" s="54" t="s">
        <v>18</v>
      </c>
      <c r="B7" s="55">
        <f t="shared" si="0"/>
        <v>0</v>
      </c>
      <c r="C7" s="55">
        <f>C3+C4-C5+C6</f>
        <v>0</v>
      </c>
      <c r="D7" s="1"/>
      <c r="E7" s="1"/>
    </row>
    <row r="8" spans="1:11" x14ac:dyDescent="0.2">
      <c r="A8" s="56" t="s">
        <v>24</v>
      </c>
      <c r="B8" s="55">
        <f t="shared" si="0"/>
        <v>0</v>
      </c>
      <c r="C8" s="55">
        <f>C7-C9-C17-C18-C19-C22</f>
        <v>0</v>
      </c>
      <c r="D8" s="8"/>
      <c r="E8" s="8"/>
    </row>
    <row r="9" spans="1:11" x14ac:dyDescent="0.2">
      <c r="A9" s="56" t="s">
        <v>32</v>
      </c>
      <c r="B9" s="55">
        <f t="shared" si="0"/>
        <v>0</v>
      </c>
      <c r="C9" s="55"/>
    </row>
    <row r="10" spans="1:11" x14ac:dyDescent="0.2">
      <c r="A10" s="57" t="s">
        <v>23</v>
      </c>
      <c r="B10" s="55">
        <f t="shared" si="0"/>
        <v>0</v>
      </c>
      <c r="C10" s="55"/>
    </row>
    <row r="11" spans="1:11" x14ac:dyDescent="0.2">
      <c r="A11" s="57" t="s">
        <v>21</v>
      </c>
      <c r="B11" s="55">
        <f t="shared" si="0"/>
        <v>0</v>
      </c>
      <c r="C11" s="55"/>
      <c r="D11" s="7"/>
      <c r="E11" s="7"/>
    </row>
    <row r="12" spans="1:11" s="7" customFormat="1" x14ac:dyDescent="0.2">
      <c r="A12" s="58" t="s">
        <v>25</v>
      </c>
      <c r="B12" s="55">
        <f t="shared" si="0"/>
        <v>0</v>
      </c>
      <c r="C12" s="55"/>
      <c r="D12" s="1"/>
      <c r="E12" s="1"/>
    </row>
    <row r="13" spans="1:11" x14ac:dyDescent="0.2">
      <c r="A13" s="58" t="s">
        <v>3</v>
      </c>
      <c r="B13" s="55">
        <f t="shared" si="0"/>
        <v>0</v>
      </c>
      <c r="C13" s="55"/>
    </row>
    <row r="14" spans="1:11" x14ac:dyDescent="0.2">
      <c r="A14" s="58" t="s">
        <v>26</v>
      </c>
      <c r="B14" s="55">
        <f t="shared" si="0"/>
        <v>0</v>
      </c>
      <c r="C14" s="55"/>
      <c r="D14" s="7"/>
      <c r="E14" s="7"/>
    </row>
    <row r="15" spans="1:11" s="7" customFormat="1" ht="25.5" x14ac:dyDescent="0.2">
      <c r="A15" s="58" t="s">
        <v>19</v>
      </c>
      <c r="B15" s="55">
        <f t="shared" si="0"/>
        <v>0</v>
      </c>
      <c r="C15" s="55"/>
      <c r="D15" s="1"/>
      <c r="E15" s="1"/>
    </row>
    <row r="16" spans="1:11" x14ac:dyDescent="0.2">
      <c r="A16" s="54" t="s">
        <v>92</v>
      </c>
      <c r="B16" s="55">
        <f t="shared" si="0"/>
        <v>0</v>
      </c>
      <c r="C16" s="55"/>
    </row>
    <row r="17" spans="1:13" x14ac:dyDescent="0.2">
      <c r="A17" s="57" t="s">
        <v>4</v>
      </c>
      <c r="B17" s="55">
        <f t="shared" si="0"/>
        <v>0</v>
      </c>
      <c r="C17" s="55"/>
      <c r="D17" s="7"/>
      <c r="E17" s="7"/>
    </row>
    <row r="18" spans="1:13" s="7" customFormat="1" x14ac:dyDescent="0.2">
      <c r="A18" s="57" t="s">
        <v>5</v>
      </c>
      <c r="B18" s="55">
        <f t="shared" si="0"/>
        <v>0</v>
      </c>
      <c r="C18" s="55"/>
      <c r="D18" s="1"/>
      <c r="E18" s="1"/>
    </row>
    <row r="19" spans="1:13" x14ac:dyDescent="0.2">
      <c r="A19" s="57" t="s">
        <v>27</v>
      </c>
      <c r="B19" s="55">
        <f t="shared" si="0"/>
        <v>0</v>
      </c>
      <c r="C19" s="55"/>
    </row>
    <row r="20" spans="1:13" x14ac:dyDescent="0.2">
      <c r="A20" s="57" t="s">
        <v>6</v>
      </c>
      <c r="B20" s="55">
        <f t="shared" si="0"/>
        <v>0</v>
      </c>
      <c r="C20" s="55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s="8" customFormat="1" x14ac:dyDescent="0.2">
      <c r="A21" s="57" t="s">
        <v>22</v>
      </c>
      <c r="B21" s="55">
        <f t="shared" si="0"/>
        <v>0</v>
      </c>
      <c r="C21" s="55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57" t="s">
        <v>7</v>
      </c>
      <c r="B22" s="55">
        <f t="shared" si="0"/>
        <v>0</v>
      </c>
      <c r="C22" s="55">
        <f>C23+C24+C30+C31+C36+C37+C38</f>
        <v>0</v>
      </c>
    </row>
    <row r="23" spans="1:13" x14ac:dyDescent="0.2">
      <c r="A23" s="60" t="s">
        <v>12</v>
      </c>
      <c r="B23" s="55">
        <f t="shared" si="0"/>
        <v>0</v>
      </c>
      <c r="C23" s="55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1:13" x14ac:dyDescent="0.2">
      <c r="A24" s="60" t="s">
        <v>53</v>
      </c>
      <c r="B24" s="55">
        <f t="shared" si="0"/>
        <v>0</v>
      </c>
      <c r="C24" s="55"/>
    </row>
    <row r="25" spans="1:13" x14ac:dyDescent="0.2">
      <c r="A25" s="60" t="s">
        <v>56</v>
      </c>
      <c r="B25" s="55">
        <f t="shared" si="0"/>
        <v>0</v>
      </c>
      <c r="C25" s="55"/>
    </row>
    <row r="26" spans="1:13" x14ac:dyDescent="0.2">
      <c r="A26" s="60" t="s">
        <v>57</v>
      </c>
      <c r="B26" s="55">
        <f t="shared" si="0"/>
        <v>0</v>
      </c>
      <c r="C26" s="55"/>
    </row>
    <row r="27" spans="1:13" s="7" customFormat="1" x14ac:dyDescent="0.2">
      <c r="A27" s="60" t="s">
        <v>58</v>
      </c>
      <c r="B27" s="55">
        <f t="shared" si="0"/>
        <v>0</v>
      </c>
      <c r="C27" s="55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7" customFormat="1" ht="25.5" x14ac:dyDescent="0.2">
      <c r="A28" s="60" t="s">
        <v>59</v>
      </c>
      <c r="B28" s="55">
        <f t="shared" si="0"/>
        <v>0</v>
      </c>
      <c r="C28" s="55"/>
    </row>
    <row r="29" spans="1:13" x14ac:dyDescent="0.2">
      <c r="A29" s="60" t="s">
        <v>60</v>
      </c>
      <c r="B29" s="55">
        <f t="shared" si="0"/>
        <v>0</v>
      </c>
      <c r="C29" s="55"/>
    </row>
    <row r="30" spans="1:13" x14ac:dyDescent="0.2">
      <c r="A30" s="60" t="s">
        <v>20</v>
      </c>
      <c r="B30" s="55">
        <f t="shared" si="0"/>
        <v>0</v>
      </c>
      <c r="C30" s="55"/>
    </row>
    <row r="31" spans="1:13" s="7" customFormat="1" x14ac:dyDescent="0.2">
      <c r="A31" s="60" t="s">
        <v>29</v>
      </c>
      <c r="B31" s="55">
        <f t="shared" si="0"/>
        <v>0</v>
      </c>
      <c r="C31" s="55"/>
    </row>
    <row r="32" spans="1:13" x14ac:dyDescent="0.2">
      <c r="A32" s="61" t="s">
        <v>8</v>
      </c>
      <c r="B32" s="55">
        <f t="shared" si="0"/>
        <v>0</v>
      </c>
      <c r="C32" s="55"/>
    </row>
    <row r="33" spans="1:13" x14ac:dyDescent="0.2">
      <c r="A33" s="61" t="s">
        <v>9</v>
      </c>
      <c r="B33" s="55">
        <f t="shared" si="0"/>
        <v>0</v>
      </c>
      <c r="C33" s="55"/>
    </row>
    <row r="34" spans="1:13" s="7" customFormat="1" x14ac:dyDescent="0.2">
      <c r="A34" s="61" t="s">
        <v>10</v>
      </c>
      <c r="B34" s="55">
        <f t="shared" si="0"/>
        <v>0</v>
      </c>
      <c r="C34" s="55"/>
    </row>
    <row r="35" spans="1:13" x14ac:dyDescent="0.2">
      <c r="A35" s="61" t="s">
        <v>11</v>
      </c>
      <c r="B35" s="55">
        <f t="shared" si="0"/>
        <v>0</v>
      </c>
      <c r="C35" s="55"/>
    </row>
    <row r="36" spans="1:13" x14ac:dyDescent="0.2">
      <c r="A36" s="60" t="s">
        <v>13</v>
      </c>
      <c r="B36" s="55">
        <f t="shared" si="0"/>
        <v>0</v>
      </c>
      <c r="C36" s="55"/>
    </row>
    <row r="37" spans="1:13" x14ac:dyDescent="0.2">
      <c r="A37" s="60" t="s">
        <v>14</v>
      </c>
      <c r="B37" s="55">
        <f t="shared" si="0"/>
        <v>0</v>
      </c>
      <c r="C37" s="55"/>
      <c r="D37" s="8"/>
      <c r="E37" s="8"/>
      <c r="F37" s="8"/>
      <c r="G37" s="8"/>
      <c r="H37" s="8"/>
      <c r="I37" s="8"/>
      <c r="J37" s="8"/>
      <c r="K37" s="8"/>
      <c r="L37" s="8"/>
      <c r="M37" s="8"/>
    </row>
    <row r="38" spans="1:13" x14ac:dyDescent="0.2">
      <c r="A38" s="60" t="s">
        <v>15</v>
      </c>
      <c r="B38" s="55">
        <f t="shared" si="0"/>
        <v>0</v>
      </c>
      <c r="C38" s="55"/>
    </row>
    <row r="39" spans="1:13" x14ac:dyDescent="0.2">
      <c r="C39" s="70"/>
    </row>
    <row r="43" spans="1:13" x14ac:dyDescent="0.2">
      <c r="D43" s="7"/>
      <c r="E43" s="7"/>
      <c r="F43" s="7"/>
      <c r="G43" s="7"/>
      <c r="H43" s="7"/>
      <c r="I43" s="7"/>
      <c r="J43" s="7"/>
      <c r="K43" s="7"/>
      <c r="L43" s="7"/>
      <c r="M43" s="7"/>
    </row>
    <row r="44" spans="1:13" x14ac:dyDescent="0.2">
      <c r="D44" s="7"/>
      <c r="E44" s="7"/>
      <c r="F44" s="7"/>
      <c r="G44" s="7"/>
      <c r="H44" s="7"/>
      <c r="I44" s="7"/>
      <c r="J44" s="7"/>
      <c r="K44" s="7"/>
      <c r="L44" s="7"/>
      <c r="M44" s="7"/>
    </row>
    <row r="47" spans="1:13" x14ac:dyDescent="0.2">
      <c r="D47" s="7"/>
      <c r="E47" s="7"/>
      <c r="F47" s="7"/>
      <c r="G47" s="7"/>
      <c r="H47" s="7"/>
      <c r="I47" s="7"/>
      <c r="J47" s="7"/>
      <c r="K47" s="7"/>
      <c r="L47" s="7"/>
      <c r="M47" s="7"/>
    </row>
    <row r="50" spans="4:13" x14ac:dyDescent="0.2">
      <c r="D50" s="7"/>
      <c r="E50" s="7"/>
      <c r="F50" s="7"/>
      <c r="G50" s="7"/>
      <c r="H50" s="7"/>
      <c r="I50" s="7"/>
      <c r="J50" s="7"/>
      <c r="K50" s="7"/>
      <c r="L50" s="7"/>
      <c r="M50" s="7"/>
    </row>
    <row r="54" spans="4:13" x14ac:dyDescent="0.2">
      <c r="D54" s="2"/>
    </row>
  </sheetData>
  <conditionalFormatting sqref="H21:J36 H10:J19 F1 H3:J7">
    <cfRule type="cellIs" dxfId="145" priority="18" operator="equal">
      <formula>0</formula>
    </cfRule>
  </conditionalFormatting>
  <conditionalFormatting sqref="D21:D36 D10:D19 D3:D7">
    <cfRule type="cellIs" dxfId="144" priority="1" operator="equal">
      <formula>0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7" r:id="rId4" name="Button 1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1724025</xdr:colOff>
                    <xdr:row>39</xdr:row>
                    <xdr:rowOff>133350</xdr:rowOff>
                  </from>
                  <to>
                    <xdr:col>2</xdr:col>
                    <xdr:colOff>819150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B050"/>
    <pageSetUpPr fitToPage="1"/>
  </sheetPr>
  <dimension ref="A1:T42"/>
  <sheetViews>
    <sheetView zoomScale="130" zoomScaleNormal="130" workbookViewId="0">
      <selection activeCell="B20" sqref="B20"/>
    </sheetView>
  </sheetViews>
  <sheetFormatPr defaultColWidth="8.85546875" defaultRowHeight="12.75" x14ac:dyDescent="0.2"/>
  <cols>
    <col min="1" max="1" width="42.85546875" style="1" customWidth="1"/>
    <col min="2" max="2" width="13" style="1" customWidth="1"/>
    <col min="3" max="3" width="13.85546875" style="1" customWidth="1"/>
    <col min="4" max="6" width="12.42578125" style="1" customWidth="1"/>
    <col min="7" max="7" width="11.7109375" style="1" customWidth="1"/>
    <col min="8" max="8" width="11.42578125" style="1" bestFit="1" customWidth="1"/>
    <col min="9" max="11" width="9" style="1" bestFit="1" customWidth="1"/>
    <col min="12" max="12" width="11.42578125" style="1" bestFit="1" customWidth="1"/>
    <col min="13" max="16384" width="8.85546875" style="1"/>
  </cols>
  <sheetData>
    <row r="1" spans="1:20" ht="18" x14ac:dyDescent="0.25">
      <c r="A1" s="13"/>
      <c r="B1" s="14"/>
      <c r="C1" s="16"/>
      <c r="D1" s="15"/>
      <c r="E1" s="63" t="str">
        <f>Баланс!J1</f>
        <v>Московская область.</v>
      </c>
      <c r="F1" s="71" t="s">
        <v>104</v>
      </c>
      <c r="G1" s="63"/>
      <c r="H1" s="14"/>
      <c r="I1" s="17"/>
      <c r="J1" s="18"/>
      <c r="K1" s="18"/>
      <c r="L1" s="5"/>
      <c r="M1" s="5"/>
      <c r="Q1" s="2"/>
      <c r="R1" s="2"/>
    </row>
    <row r="2" spans="1:20" s="6" customFormat="1" ht="25.5" x14ac:dyDescent="0.2">
      <c r="A2" s="52" t="s">
        <v>36</v>
      </c>
      <c r="B2" s="53" t="s">
        <v>61</v>
      </c>
    </row>
    <row r="3" spans="1:20" x14ac:dyDescent="0.2">
      <c r="A3" s="54" t="s">
        <v>28</v>
      </c>
      <c r="B3" s="55">
        <f>'Каменный Уголь'!B3+Кокс!B3+'Коксовый газ'!B3</f>
        <v>0</v>
      </c>
      <c r="N3" s="3"/>
      <c r="O3" s="3"/>
      <c r="P3" s="3"/>
      <c r="Q3" s="3"/>
      <c r="R3" s="3"/>
      <c r="S3" s="3"/>
      <c r="T3" s="3"/>
    </row>
    <row r="4" spans="1:20" s="7" customFormat="1" x14ac:dyDescent="0.2">
      <c r="A4" s="54" t="s">
        <v>16</v>
      </c>
      <c r="B4" s="55">
        <f>'Каменный Уголь'!B4+Кокс!B4+'Коксовый газ'!B4</f>
        <v>0</v>
      </c>
      <c r="C4" s="72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54" t="s">
        <v>17</v>
      </c>
      <c r="B5" s="55">
        <f>'Каменный Уголь'!B5+Кокс!B5+'Коксовый газ'!B5</f>
        <v>0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20" x14ac:dyDescent="0.2">
      <c r="A6" s="54" t="s">
        <v>2</v>
      </c>
      <c r="B6" s="55">
        <f>'Каменный Уголь'!B6+Кокс!B6+'Коксовый газ'!B6</f>
        <v>0</v>
      </c>
    </row>
    <row r="7" spans="1:20" s="8" customFormat="1" x14ac:dyDescent="0.2">
      <c r="A7" s="54" t="s">
        <v>18</v>
      </c>
      <c r="B7" s="59">
        <f>'Каменный Уголь'!B7+Кокс!B7+'Коксовый газ'!B7</f>
        <v>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56" t="s">
        <v>24</v>
      </c>
      <c r="B8" s="55">
        <f>'Каменный Уголь'!B8+Кокс!B8+'Коксовый газ'!B8</f>
        <v>0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57" t="s">
        <v>32</v>
      </c>
      <c r="B9" s="55">
        <f>'Каменный Уголь'!B9+Кокс!B9+'Коксовый газ'!B9</f>
        <v>0</v>
      </c>
    </row>
    <row r="10" spans="1:20" x14ac:dyDescent="0.2">
      <c r="A10" s="57" t="s">
        <v>23</v>
      </c>
      <c r="B10" s="55">
        <f>'Каменный Уголь'!B10+Кокс!B10+'Коксовый газ'!B10</f>
        <v>0</v>
      </c>
    </row>
    <row r="11" spans="1:20" s="7" customFormat="1" x14ac:dyDescent="0.2">
      <c r="A11" s="57" t="s">
        <v>21</v>
      </c>
      <c r="B11" s="55">
        <f>'Каменный Уголь'!B11+Кокс!B11+'Коксовый газ'!B11</f>
        <v>0</v>
      </c>
      <c r="N11" s="8"/>
      <c r="O11" s="8"/>
      <c r="P11" s="8"/>
      <c r="Q11" s="8"/>
      <c r="R11" s="8"/>
      <c r="S11" s="8"/>
      <c r="T11" s="8"/>
    </row>
    <row r="12" spans="1:20" x14ac:dyDescent="0.2">
      <c r="A12" s="58" t="s">
        <v>25</v>
      </c>
      <c r="B12" s="55">
        <f>'Каменный Уголь'!B12+Кокс!B12+'Коксовый газ'!B12</f>
        <v>0</v>
      </c>
      <c r="G12" s="2"/>
      <c r="N12" s="3"/>
      <c r="O12" s="3"/>
      <c r="P12" s="3"/>
      <c r="Q12" s="3"/>
      <c r="R12" s="3"/>
      <c r="S12" s="3"/>
      <c r="T12" s="3"/>
    </row>
    <row r="13" spans="1:20" x14ac:dyDescent="0.2">
      <c r="A13" s="58" t="s">
        <v>3</v>
      </c>
      <c r="B13" s="55">
        <f>'Каменный Уголь'!B13+Кокс!B13+'Коксовый газ'!B13</f>
        <v>0</v>
      </c>
    </row>
    <row r="14" spans="1:20" s="7" customFormat="1" x14ac:dyDescent="0.2">
      <c r="A14" s="58" t="s">
        <v>26</v>
      </c>
      <c r="B14" s="55">
        <f>'Каменный Уголь'!B14+Кокс!B14+'Коксовый газ'!B14</f>
        <v>0</v>
      </c>
      <c r="N14" s="1"/>
      <c r="O14" s="1"/>
      <c r="P14" s="1"/>
      <c r="Q14" s="1"/>
      <c r="R14" s="1"/>
      <c r="S14" s="1"/>
      <c r="T14" s="1"/>
    </row>
    <row r="15" spans="1:20" ht="25.5" x14ac:dyDescent="0.2">
      <c r="A15" s="58" t="s">
        <v>19</v>
      </c>
      <c r="B15" s="55">
        <f>'Каменный Уголь'!B15+Кокс!B15+'Коксовый газ'!B15</f>
        <v>0</v>
      </c>
      <c r="N15" s="7"/>
      <c r="O15" s="7"/>
      <c r="P15" s="7"/>
      <c r="Q15" s="7"/>
      <c r="R15" s="7"/>
      <c r="S15" s="7"/>
      <c r="T15" s="7"/>
    </row>
    <row r="16" spans="1:20" s="7" customFormat="1" x14ac:dyDescent="0.2">
      <c r="A16" s="57" t="s">
        <v>4</v>
      </c>
      <c r="B16" s="55">
        <f>'Каменный Уголь'!B16+Кокс!B16+'Коксовый газ'!B16</f>
        <v>0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2">
      <c r="A17" s="57" t="s">
        <v>5</v>
      </c>
      <c r="B17" s="55">
        <f>'Каменный Уголь'!B17+Кокс!B17+'Коксовый газ'!B17</f>
        <v>0</v>
      </c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20" x14ac:dyDescent="0.2">
      <c r="A18" s="57" t="s">
        <v>27</v>
      </c>
      <c r="B18" s="55">
        <f>'Каменный Уголь'!B18+Кокс!B18+'Коксовый газ'!B18</f>
        <v>0</v>
      </c>
      <c r="N18" s="8"/>
      <c r="O18" s="8"/>
      <c r="P18" s="8"/>
      <c r="Q18" s="8"/>
      <c r="R18" s="8"/>
      <c r="S18" s="8"/>
      <c r="T18" s="8"/>
    </row>
    <row r="19" spans="1:20" s="8" customFormat="1" x14ac:dyDescent="0.2">
      <c r="A19" s="57" t="s">
        <v>6</v>
      </c>
      <c r="B19" s="55">
        <f>'Каменный Уголь'!B19+Кокс!B19+'Коксовый газ'!B19</f>
        <v>0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2">
      <c r="A20" s="57" t="s">
        <v>22</v>
      </c>
      <c r="B20" s="59">
        <f>'Каменный Уголь'!B20+Кокс!B20+'Коксовый газ'!B20</f>
        <v>0</v>
      </c>
      <c r="C20" s="8"/>
      <c r="D20" s="8"/>
      <c r="E20" s="8"/>
      <c r="F20" s="8"/>
      <c r="G20" s="8"/>
      <c r="H20" s="9"/>
      <c r="I20" s="8"/>
      <c r="J20" s="8"/>
      <c r="K20" s="8"/>
      <c r="L20" s="8"/>
      <c r="M20" s="8"/>
    </row>
    <row r="21" spans="1:20" x14ac:dyDescent="0.2">
      <c r="A21" s="60" t="s">
        <v>7</v>
      </c>
      <c r="B21" s="55">
        <f>'Каменный Уголь'!B21+Кокс!B21+'Коксовый газ'!B21</f>
        <v>0</v>
      </c>
    </row>
    <row r="22" spans="1:20" x14ac:dyDescent="0.2">
      <c r="A22" s="60" t="s">
        <v>12</v>
      </c>
      <c r="B22" s="55">
        <f>'Каменный Уголь'!B22+Кокс!B22+'Коксовый газ'!B22</f>
        <v>0</v>
      </c>
    </row>
    <row r="23" spans="1:20" x14ac:dyDescent="0.2">
      <c r="A23" s="60" t="s">
        <v>53</v>
      </c>
      <c r="B23" s="55">
        <f>'Каменный Уголь'!B23+Кокс!B23+'Коксовый газ'!B23</f>
        <v>0</v>
      </c>
    </row>
    <row r="24" spans="1:20" x14ac:dyDescent="0.2">
      <c r="A24" s="60" t="s">
        <v>56</v>
      </c>
      <c r="B24" s="55">
        <f>'Каменный Уголь'!B24+Кокс!B24+'Коксовый газ'!B24</f>
        <v>0</v>
      </c>
      <c r="N24" s="7"/>
      <c r="O24" s="7"/>
      <c r="P24" s="7"/>
      <c r="Q24" s="7"/>
      <c r="R24" s="7"/>
      <c r="S24" s="7"/>
      <c r="T24" s="7"/>
    </row>
    <row r="25" spans="1:20" s="7" customFormat="1" x14ac:dyDescent="0.2">
      <c r="A25" s="60" t="s">
        <v>57</v>
      </c>
      <c r="B25" s="55">
        <f>'Каменный Уголь'!B25+Кокс!B25+'Коксовый газ'!B25</f>
        <v>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20" s="7" customFormat="1" x14ac:dyDescent="0.2">
      <c r="A26" s="60" t="s">
        <v>58</v>
      </c>
      <c r="B26" s="55">
        <f>'Каменный Уголь'!B26+Кокс!B26+'Коксовый газ'!B26</f>
        <v>0</v>
      </c>
      <c r="N26" s="1"/>
      <c r="O26" s="1"/>
      <c r="P26" s="1"/>
      <c r="Q26" s="1"/>
      <c r="R26" s="1"/>
      <c r="S26" s="1"/>
      <c r="T26" s="1"/>
    </row>
    <row r="27" spans="1:20" ht="25.5" x14ac:dyDescent="0.2">
      <c r="A27" s="60" t="s">
        <v>59</v>
      </c>
      <c r="B27" s="55">
        <f>'Каменный Уголь'!B27+Кокс!B27+'Коксовый газ'!B27</f>
        <v>0</v>
      </c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</row>
    <row r="28" spans="1:20" x14ac:dyDescent="0.2">
      <c r="A28" s="60" t="s">
        <v>60</v>
      </c>
      <c r="B28" s="55">
        <f>'Каменный Уголь'!B28+Кокс!B28+'Коксовый газ'!B28</f>
        <v>0</v>
      </c>
      <c r="N28" s="7"/>
      <c r="O28" s="7"/>
      <c r="P28" s="7"/>
      <c r="Q28" s="7"/>
      <c r="R28" s="7"/>
      <c r="S28" s="7"/>
      <c r="T28" s="7"/>
    </row>
    <row r="29" spans="1:20" s="7" customFormat="1" x14ac:dyDescent="0.2">
      <c r="A29" s="60" t="s">
        <v>20</v>
      </c>
      <c r="B29" s="55">
        <f>'Каменный Уголь'!B29+Кокс!B29+'Коксовый газ'!B29</f>
        <v>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2">
      <c r="A30" s="60" t="s">
        <v>29</v>
      </c>
      <c r="B30" s="55">
        <f>'Каменный Уголь'!B30+Кокс!B30+'Коксовый газ'!B30</f>
        <v>0</v>
      </c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20" x14ac:dyDescent="0.2">
      <c r="A31" s="61" t="s">
        <v>8</v>
      </c>
      <c r="B31" s="55">
        <f>'Каменный Уголь'!B31+Кокс!B31+'Коксовый газ'!B31</f>
        <v>0</v>
      </c>
      <c r="N31" s="7"/>
      <c r="O31" s="7"/>
      <c r="P31" s="7"/>
      <c r="Q31" s="7"/>
      <c r="R31" s="7"/>
      <c r="S31" s="7"/>
      <c r="T31" s="7"/>
    </row>
    <row r="32" spans="1:20" s="7" customFormat="1" x14ac:dyDescent="0.2">
      <c r="A32" s="61" t="s">
        <v>9</v>
      </c>
      <c r="B32" s="55">
        <f>'Каменный Уголь'!B32+Кокс!B32+'Коксовый газ'!B32</f>
        <v>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18" x14ac:dyDescent="0.2">
      <c r="A33" s="61" t="s">
        <v>10</v>
      </c>
      <c r="B33" s="55">
        <f>'Каменный Уголь'!B33+Кокс!B33+'Коксовый газ'!B33</f>
        <v>0</v>
      </c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18" x14ac:dyDescent="0.2">
      <c r="A34" s="61" t="s">
        <v>11</v>
      </c>
      <c r="B34" s="55">
        <f>'Каменный Уголь'!B34+Кокс!B34+'Коксовый газ'!B34</f>
        <v>0</v>
      </c>
    </row>
    <row r="35" spans="1:18" x14ac:dyDescent="0.2">
      <c r="A35" s="60" t="s">
        <v>13</v>
      </c>
      <c r="B35" s="55">
        <f>'Каменный Уголь'!B35+Кокс!B35+'Коксовый газ'!B35</f>
        <v>0</v>
      </c>
    </row>
    <row r="36" spans="1:18" x14ac:dyDescent="0.2">
      <c r="A36" s="60" t="s">
        <v>14</v>
      </c>
      <c r="B36" s="55">
        <f>'Каменный Уголь'!B36+Кокс!B36+'Коксовый газ'!B36</f>
        <v>0</v>
      </c>
    </row>
    <row r="37" spans="1:18" x14ac:dyDescent="0.2">
      <c r="A37" s="60" t="s">
        <v>15</v>
      </c>
      <c r="B37" s="55">
        <f>'Каменный Уголь'!B37+Кокс!B37+'Коксовый газ'!B37</f>
        <v>0</v>
      </c>
      <c r="K37" s="2"/>
      <c r="L37" s="2"/>
      <c r="Q37" s="2"/>
      <c r="R37" s="2"/>
    </row>
    <row r="38" spans="1:18" x14ac:dyDescent="0.2">
      <c r="K38" s="2"/>
      <c r="L38" s="2"/>
      <c r="Q38" s="2"/>
      <c r="R38" s="2"/>
    </row>
    <row r="39" spans="1:18" x14ac:dyDescent="0.2">
      <c r="Q39" s="2"/>
      <c r="R39" s="2"/>
    </row>
    <row r="40" spans="1:18" x14ac:dyDescent="0.2">
      <c r="Q40" s="2"/>
      <c r="R40" s="2"/>
    </row>
    <row r="41" spans="1:18" x14ac:dyDescent="0.2">
      <c r="Q41" s="2"/>
      <c r="R41" s="2"/>
    </row>
    <row r="42" spans="1:18" x14ac:dyDescent="0.2">
      <c r="Q42" s="2"/>
      <c r="R42" s="2"/>
    </row>
  </sheetData>
  <sheetProtection selectLockedCells="1" selectUnlockedCells="1"/>
  <conditionalFormatting sqref="D3:H7 D21:H36 D10:K19">
    <cfRule type="cellIs" dxfId="143" priority="9" operator="equal">
      <formula>0</formula>
    </cfRule>
  </conditionalFormatting>
  <conditionalFormatting sqref="I3:I7 I21:I36">
    <cfRule type="cellIs" dxfId="142" priority="8" operator="equal">
      <formula>0</formula>
    </cfRule>
  </conditionalFormatting>
  <conditionalFormatting sqref="J3:J7 J21:J36">
    <cfRule type="cellIs" dxfId="141" priority="7" operator="equal">
      <formula>0</formula>
    </cfRule>
  </conditionalFormatting>
  <conditionalFormatting sqref="K3:K7 K21:K36">
    <cfRule type="cellIs" dxfId="140" priority="6" operator="equal">
      <formula>0</formula>
    </cfRule>
  </conditionalFormatting>
  <conditionalFormatting sqref="C3:C7 C21:C36 C10:C19">
    <cfRule type="cellIs" dxfId="139" priority="5" operator="equal">
      <formula>0</formula>
    </cfRule>
  </conditionalFormatting>
  <conditionalFormatting sqref="B3:B36">
    <cfRule type="cellIs" dxfId="138" priority="4" operator="equal">
      <formula>0</formula>
    </cfRule>
  </conditionalFormatting>
  <conditionalFormatting sqref="B37">
    <cfRule type="cellIs" dxfId="137" priority="3" operator="equal">
      <formula>0</formula>
    </cfRule>
  </conditionalFormatting>
  <conditionalFormatting sqref="F1">
    <cfRule type="cellIs" dxfId="136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pageSetUpPr fitToPage="1"/>
  </sheetPr>
  <dimension ref="A1:T42"/>
  <sheetViews>
    <sheetView zoomScale="115" zoomScaleNormal="115" workbookViewId="0">
      <selection activeCell="G12" sqref="G12"/>
    </sheetView>
  </sheetViews>
  <sheetFormatPr defaultColWidth="8.85546875" defaultRowHeight="12.75" x14ac:dyDescent="0.2"/>
  <cols>
    <col min="1" max="1" width="42.85546875" style="1" customWidth="1"/>
    <col min="2" max="2" width="14.5703125" style="1" customWidth="1"/>
    <col min="3" max="3" width="15.28515625" style="1" customWidth="1"/>
    <col min="4" max="6" width="12.42578125" style="1" customWidth="1"/>
    <col min="7" max="7" width="11.7109375" style="1" customWidth="1"/>
    <col min="8" max="8" width="11.42578125" style="1" bestFit="1" customWidth="1"/>
    <col min="9" max="11" width="9" style="1" bestFit="1" customWidth="1"/>
    <col min="12" max="12" width="11.42578125" style="1" bestFit="1" customWidth="1"/>
    <col min="13" max="16384" width="8.85546875" style="1"/>
  </cols>
  <sheetData>
    <row r="1" spans="1:20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4" t="s">
        <v>104</v>
      </c>
      <c r="G1" s="63"/>
      <c r="H1" s="14"/>
      <c r="I1" s="17"/>
      <c r="J1" s="18"/>
      <c r="K1" s="18"/>
      <c r="L1" s="5"/>
      <c r="M1" s="5"/>
      <c r="Q1" s="2"/>
      <c r="R1" s="2"/>
    </row>
    <row r="2" spans="1:20" s="6" customFormat="1" ht="51" x14ac:dyDescent="0.2">
      <c r="A2" s="52" t="s">
        <v>93</v>
      </c>
      <c r="B2" s="53" t="s">
        <v>80</v>
      </c>
      <c r="C2" s="53" t="s">
        <v>105</v>
      </c>
    </row>
    <row r="3" spans="1:20" x14ac:dyDescent="0.2">
      <c r="A3" s="54" t="s">
        <v>28</v>
      </c>
      <c r="B3" s="55">
        <f>C3*0.765/1000</f>
        <v>0</v>
      </c>
      <c r="C3" s="55"/>
      <c r="N3" s="3"/>
      <c r="O3" s="3"/>
      <c r="P3" s="3"/>
      <c r="Q3" s="3"/>
      <c r="R3" s="3"/>
      <c r="S3" s="3"/>
      <c r="T3" s="3"/>
    </row>
    <row r="4" spans="1:20" s="7" customFormat="1" x14ac:dyDescent="0.2">
      <c r="A4" s="54" t="s">
        <v>16</v>
      </c>
      <c r="B4" s="55">
        <f t="shared" ref="B4:B37" si="0">C4*0.765/1000</f>
        <v>0</v>
      </c>
      <c r="C4" s="5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54" t="s">
        <v>17</v>
      </c>
      <c r="B5" s="55">
        <f t="shared" si="0"/>
        <v>0</v>
      </c>
      <c r="C5" s="55"/>
      <c r="D5" s="7"/>
      <c r="E5" s="7"/>
      <c r="F5" s="7"/>
      <c r="G5" s="7"/>
      <c r="H5" s="7"/>
      <c r="I5" s="7"/>
      <c r="J5" s="7"/>
      <c r="K5" s="7"/>
      <c r="L5" s="7"/>
      <c r="M5" s="7"/>
    </row>
    <row r="6" spans="1:20" x14ac:dyDescent="0.2">
      <c r="A6" s="54" t="s">
        <v>2</v>
      </c>
      <c r="B6" s="55">
        <f t="shared" si="0"/>
        <v>0</v>
      </c>
      <c r="C6" s="55"/>
    </row>
    <row r="7" spans="1:20" s="8" customFormat="1" x14ac:dyDescent="0.2">
      <c r="A7" s="54" t="s">
        <v>18</v>
      </c>
      <c r="B7" s="59">
        <f t="shared" si="0"/>
        <v>0</v>
      </c>
      <c r="C7" s="59">
        <f>C3+C4-C5+C6</f>
        <v>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56" t="s">
        <v>24</v>
      </c>
      <c r="B8" s="59">
        <f t="shared" si="0"/>
        <v>0</v>
      </c>
      <c r="C8" s="59">
        <f>C7-C9-C16-C17-C18-C19-C20-C21</f>
        <v>0</v>
      </c>
      <c r="D8" s="8"/>
      <c r="E8" s="8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57" t="s">
        <v>32</v>
      </c>
      <c r="B9" s="55">
        <f t="shared" si="0"/>
        <v>0</v>
      </c>
      <c r="C9" s="55"/>
    </row>
    <row r="10" spans="1:20" x14ac:dyDescent="0.2">
      <c r="A10" s="57" t="s">
        <v>23</v>
      </c>
      <c r="B10" s="55">
        <f t="shared" si="0"/>
        <v>0</v>
      </c>
      <c r="C10" s="55"/>
    </row>
    <row r="11" spans="1:20" x14ac:dyDescent="0.2">
      <c r="A11" s="57" t="s">
        <v>21</v>
      </c>
      <c r="B11" s="55">
        <f t="shared" si="0"/>
        <v>0</v>
      </c>
      <c r="C11" s="55"/>
      <c r="D11" s="7"/>
      <c r="E11" s="7"/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58" t="s">
        <v>25</v>
      </c>
      <c r="B12" s="55">
        <f t="shared" si="0"/>
        <v>0</v>
      </c>
      <c r="C12" s="55"/>
      <c r="D12" s="1"/>
      <c r="E12" s="1"/>
      <c r="F12" s="1"/>
      <c r="G12" s="1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58" t="s">
        <v>3</v>
      </c>
      <c r="B13" s="55">
        <f t="shared" si="0"/>
        <v>0</v>
      </c>
      <c r="C13" s="55"/>
    </row>
    <row r="14" spans="1:20" x14ac:dyDescent="0.2">
      <c r="A14" s="58" t="s">
        <v>26</v>
      </c>
      <c r="B14" s="55">
        <f t="shared" si="0"/>
        <v>0</v>
      </c>
      <c r="C14" s="55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20" s="7" customFormat="1" ht="25.5" x14ac:dyDescent="0.2">
      <c r="A15" s="58" t="s">
        <v>19</v>
      </c>
      <c r="B15" s="55">
        <f t="shared" si="0"/>
        <v>0</v>
      </c>
      <c r="C15" s="55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57" t="s">
        <v>4</v>
      </c>
      <c r="B16" s="55">
        <f t="shared" si="0"/>
        <v>0</v>
      </c>
      <c r="C16" s="55"/>
    </row>
    <row r="17" spans="1:20" x14ac:dyDescent="0.2">
      <c r="A17" s="57" t="s">
        <v>5</v>
      </c>
      <c r="B17" s="55">
        <f t="shared" si="0"/>
        <v>0</v>
      </c>
      <c r="C17" s="55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57" t="s">
        <v>27</v>
      </c>
      <c r="B18" s="55">
        <f t="shared" si="0"/>
        <v>0</v>
      </c>
      <c r="C18" s="55"/>
      <c r="D18" s="1"/>
      <c r="E18" s="1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57" t="s">
        <v>6</v>
      </c>
      <c r="B19" s="55">
        <f t="shared" si="0"/>
        <v>0</v>
      </c>
      <c r="C19" s="55"/>
    </row>
    <row r="20" spans="1:20" x14ac:dyDescent="0.2">
      <c r="A20" s="57" t="s">
        <v>22</v>
      </c>
      <c r="B20" s="55">
        <f t="shared" si="0"/>
        <v>0</v>
      </c>
      <c r="C20" s="55"/>
      <c r="D20" s="8"/>
      <c r="E20" s="8"/>
      <c r="F20" s="8"/>
      <c r="G20" s="8"/>
      <c r="H20" s="9"/>
      <c r="I20" s="8"/>
      <c r="J20" s="8"/>
      <c r="K20" s="8"/>
      <c r="L20" s="8"/>
      <c r="M20" s="8"/>
    </row>
    <row r="21" spans="1:20" s="8" customFormat="1" x14ac:dyDescent="0.2">
      <c r="A21" s="60" t="s">
        <v>7</v>
      </c>
      <c r="B21" s="59">
        <f t="shared" si="0"/>
        <v>0</v>
      </c>
      <c r="C21" s="59">
        <f>C22+C23+C29+C30+C35+C36+C37</f>
        <v>0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0" t="s">
        <v>12</v>
      </c>
      <c r="B22" s="55">
        <f t="shared" si="0"/>
        <v>0</v>
      </c>
      <c r="C22" s="55"/>
    </row>
    <row r="23" spans="1:20" x14ac:dyDescent="0.2">
      <c r="A23" s="60" t="s">
        <v>53</v>
      </c>
      <c r="B23" s="55">
        <f t="shared" si="0"/>
        <v>0</v>
      </c>
      <c r="C23" s="55"/>
    </row>
    <row r="24" spans="1:20" x14ac:dyDescent="0.2">
      <c r="A24" s="60" t="s">
        <v>56</v>
      </c>
      <c r="B24" s="55">
        <f t="shared" si="0"/>
        <v>0</v>
      </c>
      <c r="C24" s="55"/>
      <c r="N24" s="7"/>
      <c r="O24" s="7"/>
      <c r="P24" s="7"/>
      <c r="Q24" s="7"/>
      <c r="R24" s="7"/>
      <c r="S24" s="7"/>
      <c r="T24" s="7"/>
    </row>
    <row r="25" spans="1:20" x14ac:dyDescent="0.2">
      <c r="A25" s="60" t="s">
        <v>57</v>
      </c>
      <c r="B25" s="55">
        <f t="shared" si="0"/>
        <v>0</v>
      </c>
      <c r="C25" s="55"/>
      <c r="N25" s="7"/>
      <c r="O25" s="7"/>
      <c r="P25" s="7"/>
      <c r="Q25" s="7"/>
      <c r="R25" s="7"/>
      <c r="S25" s="7"/>
      <c r="T25" s="7"/>
    </row>
    <row r="26" spans="1:20" x14ac:dyDescent="0.2">
      <c r="A26" s="60" t="s">
        <v>58</v>
      </c>
      <c r="B26" s="55">
        <f t="shared" si="0"/>
        <v>0</v>
      </c>
      <c r="C26" s="55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0" t="s">
        <v>59</v>
      </c>
      <c r="B27" s="55">
        <f t="shared" si="0"/>
        <v>0</v>
      </c>
      <c r="C27" s="55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0" t="s">
        <v>60</v>
      </c>
      <c r="B28" s="55">
        <f t="shared" si="0"/>
        <v>0</v>
      </c>
      <c r="C28" s="55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0" t="s">
        <v>20</v>
      </c>
      <c r="B29" s="55">
        <f t="shared" si="0"/>
        <v>0</v>
      </c>
      <c r="C29" s="55"/>
    </row>
    <row r="30" spans="1:20" x14ac:dyDescent="0.2">
      <c r="A30" s="60" t="s">
        <v>29</v>
      </c>
      <c r="B30" s="55">
        <f t="shared" si="0"/>
        <v>0</v>
      </c>
      <c r="C30" s="55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1" t="s">
        <v>8</v>
      </c>
      <c r="B31" s="55">
        <f t="shared" si="0"/>
        <v>0</v>
      </c>
      <c r="C31" s="55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1" t="s">
        <v>9</v>
      </c>
      <c r="B32" s="55">
        <f t="shared" si="0"/>
        <v>0</v>
      </c>
      <c r="C32" s="55"/>
    </row>
    <row r="33" spans="1:20" x14ac:dyDescent="0.2">
      <c r="A33" s="61" t="s">
        <v>10</v>
      </c>
      <c r="B33" s="55">
        <f t="shared" si="0"/>
        <v>0</v>
      </c>
      <c r="C33" s="55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1" t="s">
        <v>11</v>
      </c>
      <c r="B34" s="55">
        <f t="shared" si="0"/>
        <v>0</v>
      </c>
      <c r="C34" s="55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0" t="s">
        <v>13</v>
      </c>
      <c r="B35" s="55">
        <f t="shared" si="0"/>
        <v>0</v>
      </c>
      <c r="C35" s="55"/>
    </row>
    <row r="36" spans="1:20" x14ac:dyDescent="0.2">
      <c r="A36" s="60" t="s">
        <v>14</v>
      </c>
      <c r="B36" s="55">
        <f t="shared" si="0"/>
        <v>0</v>
      </c>
      <c r="C36" s="55"/>
    </row>
    <row r="37" spans="1:20" x14ac:dyDescent="0.2">
      <c r="A37" s="60" t="s">
        <v>15</v>
      </c>
      <c r="B37" s="55">
        <f t="shared" si="0"/>
        <v>0</v>
      </c>
      <c r="C37" s="55"/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sheetProtection selectLockedCells="1" selectUnlockedCells="1"/>
  <conditionalFormatting sqref="F3:H7 F21:H36 F10:K19">
    <cfRule type="cellIs" dxfId="135" priority="63" operator="equal">
      <formula>0</formula>
    </cfRule>
  </conditionalFormatting>
  <conditionalFormatting sqref="I3:I7 I21:I36">
    <cfRule type="cellIs" dxfId="134" priority="62" operator="equal">
      <formula>0</formula>
    </cfRule>
  </conditionalFormatting>
  <conditionalFormatting sqref="J3:J7 J21:J36">
    <cfRule type="cellIs" dxfId="133" priority="61" operator="equal">
      <formula>0</formula>
    </cfRule>
  </conditionalFormatting>
  <conditionalFormatting sqref="K3:K7 K21:K36">
    <cfRule type="cellIs" dxfId="132" priority="60" operator="equal">
      <formula>0</formula>
    </cfRule>
  </conditionalFormatting>
  <conditionalFormatting sqref="F3:F7 F21:F36">
    <cfRule type="cellIs" dxfId="131" priority="58" operator="equal">
      <formula>0</formula>
    </cfRule>
  </conditionalFormatting>
  <conditionalFormatting sqref="G3:G7 G21:G36">
    <cfRule type="cellIs" dxfId="130" priority="57" operator="equal">
      <formula>0</formula>
    </cfRule>
  </conditionalFormatting>
  <conditionalFormatting sqref="F1">
    <cfRule type="cellIs" dxfId="129" priority="32" operator="equal">
      <formula>0</formula>
    </cfRule>
  </conditionalFormatting>
  <conditionalFormatting sqref="D3:E7 D21:E36 D10:E19">
    <cfRule type="cellIs" dxfId="128" priority="3" operator="equal">
      <formula>0</formula>
    </cfRule>
  </conditionalFormatting>
  <conditionalFormatting sqref="D3:D7 D21:D36">
    <cfRule type="cellIs" dxfId="127" priority="2" operator="equal">
      <formula>0</formula>
    </cfRule>
  </conditionalFormatting>
  <conditionalFormatting sqref="E3:E7 E21:E36">
    <cfRule type="cellIs" dxfId="126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1628775</xdr:colOff>
                    <xdr:row>39</xdr:row>
                    <xdr:rowOff>9525</xdr:rowOff>
                  </from>
                  <to>
                    <xdr:col>3</xdr:col>
                    <xdr:colOff>9525</xdr:colOff>
                    <xdr:row>43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T42"/>
  <sheetViews>
    <sheetView zoomScale="115" zoomScaleNormal="115" workbookViewId="0">
      <selection activeCell="B3" sqref="B3"/>
    </sheetView>
  </sheetViews>
  <sheetFormatPr defaultColWidth="8.85546875" defaultRowHeight="12.75" x14ac:dyDescent="0.2"/>
  <cols>
    <col min="1" max="1" width="42.85546875" style="1" customWidth="1"/>
    <col min="2" max="2" width="14.42578125" style="1" customWidth="1"/>
    <col min="3" max="3" width="15.140625" style="1" customWidth="1"/>
    <col min="4" max="4" width="12.42578125" style="4" customWidth="1"/>
    <col min="5" max="6" width="12.42578125" style="1" customWidth="1"/>
    <col min="7" max="7" width="11.85546875" style="1" customWidth="1"/>
    <col min="8" max="8" width="11.7109375" style="1" customWidth="1"/>
    <col min="9" max="9" width="11.42578125" style="1" bestFit="1" customWidth="1"/>
    <col min="10" max="12" width="9" style="1" bestFit="1" customWidth="1"/>
    <col min="13" max="13" width="11.42578125" style="1" bestFit="1" customWidth="1"/>
    <col min="14" max="16384" width="8.85546875" style="1"/>
  </cols>
  <sheetData>
    <row r="1" spans="1:20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4" t="s">
        <v>104</v>
      </c>
      <c r="G1" s="63"/>
      <c r="H1" s="14"/>
      <c r="I1" s="17"/>
      <c r="J1" s="18"/>
      <c r="K1" s="18"/>
      <c r="L1" s="5"/>
      <c r="M1" s="5"/>
      <c r="Q1" s="2"/>
      <c r="R1" s="2"/>
    </row>
    <row r="2" spans="1:20" s="6" customFormat="1" ht="38.25" x14ac:dyDescent="0.2">
      <c r="A2" s="52" t="s">
        <v>74</v>
      </c>
      <c r="B2" s="53" t="s">
        <v>81</v>
      </c>
      <c r="C2" s="53" t="s">
        <v>76</v>
      </c>
    </row>
    <row r="3" spans="1:20" x14ac:dyDescent="0.2">
      <c r="A3" s="54" t="s">
        <v>28</v>
      </c>
      <c r="B3" s="55">
        <f>C3*0.99/1000</f>
        <v>0</v>
      </c>
      <c r="C3" s="55"/>
      <c r="D3" s="1"/>
      <c r="N3" s="3"/>
      <c r="O3" s="3"/>
      <c r="P3" s="3"/>
      <c r="Q3" s="3"/>
      <c r="R3" s="3"/>
      <c r="S3" s="3"/>
      <c r="T3" s="3"/>
    </row>
    <row r="4" spans="1:20" s="7" customFormat="1" x14ac:dyDescent="0.2">
      <c r="A4" s="54" t="s">
        <v>16</v>
      </c>
      <c r="B4" s="55">
        <f t="shared" ref="B4:B37" si="0">C4*0.99/1000</f>
        <v>0</v>
      </c>
      <c r="C4" s="5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54" t="s">
        <v>17</v>
      </c>
      <c r="B5" s="55">
        <f t="shared" si="0"/>
        <v>0</v>
      </c>
      <c r="C5" s="55"/>
      <c r="D5" s="7"/>
      <c r="E5" s="7"/>
      <c r="F5" s="7"/>
      <c r="G5" s="7"/>
      <c r="H5" s="7"/>
      <c r="I5" s="7"/>
      <c r="J5" s="7"/>
      <c r="K5" s="7"/>
      <c r="L5" s="7"/>
      <c r="M5" s="7"/>
    </row>
    <row r="6" spans="1:20" x14ac:dyDescent="0.2">
      <c r="A6" s="54" t="s">
        <v>2</v>
      </c>
      <c r="B6" s="55">
        <f t="shared" si="0"/>
        <v>0</v>
      </c>
      <c r="C6" s="55"/>
      <c r="D6" s="1"/>
    </row>
    <row r="7" spans="1:20" s="8" customFormat="1" x14ac:dyDescent="0.2">
      <c r="A7" s="54" t="s">
        <v>18</v>
      </c>
      <c r="B7" s="59">
        <f t="shared" si="0"/>
        <v>0</v>
      </c>
      <c r="C7" s="59">
        <f>C3+C4-C5+C6</f>
        <v>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56" t="s">
        <v>24</v>
      </c>
      <c r="B8" s="59">
        <f t="shared" si="0"/>
        <v>0</v>
      </c>
      <c r="C8" s="59">
        <f>C7-C9-C16-C17-C18-C19-C20-C21</f>
        <v>0</v>
      </c>
      <c r="D8" s="8"/>
      <c r="E8" s="8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57" t="s">
        <v>32</v>
      </c>
      <c r="B9" s="55">
        <f t="shared" si="0"/>
        <v>0</v>
      </c>
      <c r="C9" s="55"/>
      <c r="D9" s="1"/>
    </row>
    <row r="10" spans="1:20" x14ac:dyDescent="0.2">
      <c r="A10" s="57" t="s">
        <v>23</v>
      </c>
      <c r="B10" s="55">
        <f t="shared" si="0"/>
        <v>0</v>
      </c>
      <c r="C10" s="55"/>
      <c r="D10" s="1"/>
    </row>
    <row r="11" spans="1:20" x14ac:dyDescent="0.2">
      <c r="A11" s="57" t="s">
        <v>21</v>
      </c>
      <c r="B11" s="55">
        <f t="shared" si="0"/>
        <v>0</v>
      </c>
      <c r="C11" s="55"/>
      <c r="D11" s="7"/>
      <c r="E11" s="7"/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58" t="s">
        <v>25</v>
      </c>
      <c r="B12" s="55">
        <f t="shared" si="0"/>
        <v>0</v>
      </c>
      <c r="C12" s="55"/>
      <c r="D12" s="1"/>
      <c r="E12" s="1"/>
      <c r="F12" s="1"/>
      <c r="G12" s="2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58" t="s">
        <v>3</v>
      </c>
      <c r="B13" s="55">
        <f t="shared" si="0"/>
        <v>0</v>
      </c>
      <c r="C13" s="55"/>
      <c r="D13" s="1"/>
    </row>
    <row r="14" spans="1:20" x14ac:dyDescent="0.2">
      <c r="A14" s="58" t="s">
        <v>26</v>
      </c>
      <c r="B14" s="55">
        <f t="shared" si="0"/>
        <v>0</v>
      </c>
      <c r="C14" s="55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20" s="7" customFormat="1" ht="25.5" x14ac:dyDescent="0.2">
      <c r="A15" s="58" t="s">
        <v>19</v>
      </c>
      <c r="B15" s="55">
        <f t="shared" si="0"/>
        <v>0</v>
      </c>
      <c r="C15" s="55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57" t="s">
        <v>4</v>
      </c>
      <c r="B16" s="55">
        <f t="shared" si="0"/>
        <v>0</v>
      </c>
      <c r="C16" s="55"/>
      <c r="D16" s="1"/>
    </row>
    <row r="17" spans="1:20" x14ac:dyDescent="0.2">
      <c r="A17" s="57" t="s">
        <v>5</v>
      </c>
      <c r="B17" s="55">
        <f t="shared" si="0"/>
        <v>0</v>
      </c>
      <c r="C17" s="55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57" t="s">
        <v>27</v>
      </c>
      <c r="B18" s="55">
        <f t="shared" si="0"/>
        <v>0</v>
      </c>
      <c r="C18" s="55"/>
      <c r="D18" s="1"/>
      <c r="E18" s="1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57" t="s">
        <v>6</v>
      </c>
      <c r="B19" s="55">
        <f t="shared" si="0"/>
        <v>0</v>
      </c>
      <c r="C19" s="55"/>
      <c r="D19" s="1"/>
    </row>
    <row r="20" spans="1:20" x14ac:dyDescent="0.2">
      <c r="A20" s="57" t="s">
        <v>22</v>
      </c>
      <c r="B20" s="55">
        <f t="shared" si="0"/>
        <v>0</v>
      </c>
      <c r="C20" s="55"/>
      <c r="D20" s="8"/>
      <c r="E20" s="8"/>
      <c r="F20" s="8"/>
      <c r="G20" s="8"/>
      <c r="H20" s="9"/>
      <c r="I20" s="8"/>
      <c r="J20" s="8"/>
      <c r="K20" s="8"/>
      <c r="L20" s="8"/>
      <c r="M20" s="8"/>
    </row>
    <row r="21" spans="1:20" s="8" customFormat="1" x14ac:dyDescent="0.2">
      <c r="A21" s="60" t="s">
        <v>7</v>
      </c>
      <c r="B21" s="59">
        <f t="shared" si="0"/>
        <v>0</v>
      </c>
      <c r="C21" s="59">
        <f>C22+C23+C29+C30+C35+C36+C37</f>
        <v>0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0" t="s">
        <v>12</v>
      </c>
      <c r="B22" s="55">
        <f t="shared" si="0"/>
        <v>0</v>
      </c>
      <c r="C22" s="55"/>
      <c r="D22" s="1"/>
    </row>
    <row r="23" spans="1:20" x14ac:dyDescent="0.2">
      <c r="A23" s="60" t="s">
        <v>53</v>
      </c>
      <c r="B23" s="55">
        <f t="shared" si="0"/>
        <v>0</v>
      </c>
      <c r="C23" s="55"/>
      <c r="D23" s="1"/>
    </row>
    <row r="24" spans="1:20" x14ac:dyDescent="0.2">
      <c r="A24" s="60" t="s">
        <v>56</v>
      </c>
      <c r="B24" s="55">
        <f t="shared" si="0"/>
        <v>0</v>
      </c>
      <c r="C24" s="55"/>
      <c r="D24" s="1"/>
      <c r="N24" s="7"/>
      <c r="O24" s="7"/>
      <c r="P24" s="7"/>
      <c r="Q24" s="7"/>
      <c r="R24" s="7"/>
      <c r="S24" s="7"/>
      <c r="T24" s="7"/>
    </row>
    <row r="25" spans="1:20" x14ac:dyDescent="0.2">
      <c r="A25" s="60" t="s">
        <v>57</v>
      </c>
      <c r="B25" s="55">
        <f t="shared" si="0"/>
        <v>0</v>
      </c>
      <c r="C25" s="55"/>
      <c r="D25" s="1"/>
      <c r="N25" s="7"/>
      <c r="O25" s="7"/>
      <c r="P25" s="7"/>
      <c r="Q25" s="7"/>
      <c r="R25" s="7"/>
      <c r="S25" s="7"/>
      <c r="T25" s="7"/>
    </row>
    <row r="26" spans="1:20" x14ac:dyDescent="0.2">
      <c r="A26" s="60" t="s">
        <v>58</v>
      </c>
      <c r="B26" s="55">
        <f t="shared" si="0"/>
        <v>0</v>
      </c>
      <c r="C26" s="55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0" t="s">
        <v>59</v>
      </c>
      <c r="B27" s="55">
        <f t="shared" si="0"/>
        <v>0</v>
      </c>
      <c r="C27" s="55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0" t="s">
        <v>60</v>
      </c>
      <c r="B28" s="55">
        <f t="shared" si="0"/>
        <v>0</v>
      </c>
      <c r="C28" s="55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0" t="s">
        <v>20</v>
      </c>
      <c r="B29" s="55">
        <f t="shared" si="0"/>
        <v>0</v>
      </c>
      <c r="C29" s="55"/>
      <c r="D29" s="1"/>
    </row>
    <row r="30" spans="1:20" x14ac:dyDescent="0.2">
      <c r="A30" s="60" t="s">
        <v>29</v>
      </c>
      <c r="B30" s="55">
        <f t="shared" si="0"/>
        <v>0</v>
      </c>
      <c r="C30" s="55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1" t="s">
        <v>8</v>
      </c>
      <c r="B31" s="55">
        <f t="shared" si="0"/>
        <v>0</v>
      </c>
      <c r="C31" s="55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1" t="s">
        <v>9</v>
      </c>
      <c r="B32" s="55">
        <f t="shared" si="0"/>
        <v>0</v>
      </c>
      <c r="C32" s="55"/>
      <c r="D32" s="1"/>
    </row>
    <row r="33" spans="1:20" x14ac:dyDescent="0.2">
      <c r="A33" s="61" t="s">
        <v>10</v>
      </c>
      <c r="B33" s="55">
        <f t="shared" si="0"/>
        <v>0</v>
      </c>
      <c r="C33" s="55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1" t="s">
        <v>11</v>
      </c>
      <c r="B34" s="55">
        <f t="shared" si="0"/>
        <v>0</v>
      </c>
      <c r="C34" s="55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0" t="s">
        <v>13</v>
      </c>
      <c r="B35" s="55">
        <f t="shared" si="0"/>
        <v>0</v>
      </c>
      <c r="C35" s="55"/>
      <c r="D35" s="1"/>
    </row>
    <row r="36" spans="1:20" x14ac:dyDescent="0.2">
      <c r="A36" s="60" t="s">
        <v>14</v>
      </c>
      <c r="B36" s="55">
        <f t="shared" si="0"/>
        <v>0</v>
      </c>
      <c r="C36" s="55"/>
      <c r="D36" s="1"/>
    </row>
    <row r="37" spans="1:20" x14ac:dyDescent="0.2">
      <c r="A37" s="60" t="s">
        <v>15</v>
      </c>
      <c r="B37" s="55">
        <f t="shared" si="0"/>
        <v>0</v>
      </c>
      <c r="C37" s="55"/>
      <c r="D37" s="1"/>
      <c r="K37" s="2"/>
      <c r="L37" s="2"/>
      <c r="Q37" s="2"/>
      <c r="R37" s="2"/>
    </row>
    <row r="38" spans="1:20" x14ac:dyDescent="0.2">
      <c r="D38" s="1"/>
      <c r="K38" s="2"/>
      <c r="L38" s="2"/>
      <c r="Q38" s="2"/>
      <c r="R38" s="2"/>
    </row>
    <row r="39" spans="1:20" x14ac:dyDescent="0.2">
      <c r="D39" s="1"/>
      <c r="Q39" s="2"/>
      <c r="R39" s="2"/>
    </row>
    <row r="40" spans="1:20" x14ac:dyDescent="0.2">
      <c r="D40" s="1"/>
      <c r="Q40" s="2"/>
      <c r="R40" s="2"/>
    </row>
    <row r="41" spans="1:20" x14ac:dyDescent="0.2">
      <c r="D41" s="1"/>
      <c r="Q41" s="2"/>
      <c r="R41" s="2"/>
    </row>
    <row r="42" spans="1:20" x14ac:dyDescent="0.2">
      <c r="D42" s="1"/>
      <c r="Q42" s="2"/>
      <c r="R42" s="2"/>
    </row>
  </sheetData>
  <conditionalFormatting sqref="E3:H7 E21:H36 E10:K19">
    <cfRule type="cellIs" dxfId="125" priority="21" operator="equal">
      <formula>0</formula>
    </cfRule>
  </conditionalFormatting>
  <conditionalFormatting sqref="I3:I7 I21:I36">
    <cfRule type="cellIs" dxfId="124" priority="20" operator="equal">
      <formula>0</formula>
    </cfRule>
  </conditionalFormatting>
  <conditionalFormatting sqref="J3:J7 J21:J36">
    <cfRule type="cellIs" dxfId="123" priority="19" operator="equal">
      <formula>0</formula>
    </cfRule>
  </conditionalFormatting>
  <conditionalFormatting sqref="K3:K7 K21:K36">
    <cfRule type="cellIs" dxfId="122" priority="18" operator="equal">
      <formula>0</formula>
    </cfRule>
  </conditionalFormatting>
  <conditionalFormatting sqref="F1">
    <cfRule type="cellIs" dxfId="121" priority="15" operator="equal">
      <formula>0</formula>
    </cfRule>
  </conditionalFormatting>
  <conditionalFormatting sqref="D3:D7 D21:D36 D10:D19">
    <cfRule type="cellIs" dxfId="120" priority="1" operator="equal">
      <formula>0</formula>
    </cfRule>
  </conditionalFormatting>
  <printOptions horizontalCentered="1" verticalCentered="1"/>
  <pageMargins left="0.25" right="0.25" top="0.25" bottom="0.2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1676400</xdr:colOff>
                    <xdr:row>39</xdr:row>
                    <xdr:rowOff>19050</xdr:rowOff>
                  </from>
                  <to>
                    <xdr:col>2</xdr:col>
                    <xdr:colOff>800100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pageSetUpPr fitToPage="1"/>
  </sheetPr>
  <dimension ref="A1:T42"/>
  <sheetViews>
    <sheetView zoomScale="115" zoomScaleNormal="115" workbookViewId="0">
      <selection activeCell="C3" sqref="C3:C37"/>
    </sheetView>
  </sheetViews>
  <sheetFormatPr defaultColWidth="8.85546875" defaultRowHeight="12.75" x14ac:dyDescent="0.2"/>
  <cols>
    <col min="1" max="1" width="43.140625" style="1" customWidth="1"/>
    <col min="2" max="2" width="14.42578125" style="1" customWidth="1"/>
    <col min="3" max="6" width="15.85546875" style="1" customWidth="1"/>
    <col min="7" max="7" width="11.42578125" style="1" bestFit="1" customWidth="1"/>
    <col min="8" max="10" width="9" style="1" bestFit="1" customWidth="1"/>
    <col min="11" max="11" width="11.42578125" style="1" bestFit="1" customWidth="1"/>
    <col min="12" max="16384" width="8.85546875" style="1"/>
  </cols>
  <sheetData>
    <row r="1" spans="1:20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4" t="s">
        <v>104</v>
      </c>
      <c r="G1" s="63"/>
      <c r="H1" s="14"/>
      <c r="I1" s="17"/>
      <c r="J1" s="18"/>
      <c r="K1" s="18"/>
      <c r="L1" s="5"/>
      <c r="M1" s="5"/>
      <c r="Q1" s="2"/>
      <c r="R1" s="2"/>
    </row>
    <row r="2" spans="1:20" s="6" customFormat="1" ht="38.25" x14ac:dyDescent="0.2">
      <c r="A2" s="52" t="s">
        <v>73</v>
      </c>
      <c r="B2" s="53" t="s">
        <v>82</v>
      </c>
      <c r="C2" s="53" t="s">
        <v>89</v>
      </c>
    </row>
    <row r="3" spans="1:20" x14ac:dyDescent="0.2">
      <c r="A3" s="54" t="s">
        <v>28</v>
      </c>
      <c r="B3" s="55">
        <f>C3*0.57/1000</f>
        <v>0</v>
      </c>
      <c r="C3" s="55"/>
      <c r="N3" s="3"/>
      <c r="O3" s="3"/>
      <c r="P3" s="3"/>
      <c r="Q3" s="3"/>
      <c r="R3" s="3"/>
      <c r="S3" s="3"/>
      <c r="T3" s="3"/>
    </row>
    <row r="4" spans="1:20" s="7" customFormat="1" x14ac:dyDescent="0.2">
      <c r="A4" s="54" t="s">
        <v>16</v>
      </c>
      <c r="B4" s="55">
        <f t="shared" ref="B4:B37" si="0">C4*0.57/1000</f>
        <v>0</v>
      </c>
      <c r="C4" s="5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54" t="s">
        <v>17</v>
      </c>
      <c r="B5" s="55">
        <f t="shared" si="0"/>
        <v>0</v>
      </c>
      <c r="C5" s="55"/>
      <c r="D5" s="7"/>
      <c r="E5" s="7"/>
      <c r="F5" s="7"/>
      <c r="G5" s="7"/>
      <c r="H5" s="7"/>
      <c r="I5" s="7"/>
      <c r="J5" s="7"/>
      <c r="K5" s="7"/>
      <c r="L5" s="7"/>
      <c r="M5" s="7"/>
    </row>
    <row r="6" spans="1:20" x14ac:dyDescent="0.2">
      <c r="A6" s="54" t="s">
        <v>2</v>
      </c>
      <c r="B6" s="55">
        <f t="shared" si="0"/>
        <v>0</v>
      </c>
      <c r="C6" s="55"/>
    </row>
    <row r="7" spans="1:20" s="8" customFormat="1" x14ac:dyDescent="0.2">
      <c r="A7" s="54" t="s">
        <v>18</v>
      </c>
      <c r="B7" s="59">
        <f t="shared" si="0"/>
        <v>0</v>
      </c>
      <c r="C7" s="59">
        <f>C3+C4-C5+C6</f>
        <v>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56" t="s">
        <v>24</v>
      </c>
      <c r="B8" s="59">
        <f t="shared" si="0"/>
        <v>0</v>
      </c>
      <c r="C8" s="59">
        <f>C7-C9-C16-C17-C18-C19-C20-C21</f>
        <v>0</v>
      </c>
      <c r="D8" s="8"/>
      <c r="E8" s="8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57" t="s">
        <v>32</v>
      </c>
      <c r="B9" s="55">
        <f t="shared" si="0"/>
        <v>0</v>
      </c>
      <c r="C9" s="55"/>
    </row>
    <row r="10" spans="1:20" x14ac:dyDescent="0.2">
      <c r="A10" s="57" t="s">
        <v>23</v>
      </c>
      <c r="B10" s="55">
        <f t="shared" si="0"/>
        <v>0</v>
      </c>
      <c r="C10" s="55"/>
    </row>
    <row r="11" spans="1:20" x14ac:dyDescent="0.2">
      <c r="A11" s="57" t="s">
        <v>21</v>
      </c>
      <c r="B11" s="55">
        <f t="shared" si="0"/>
        <v>0</v>
      </c>
      <c r="C11" s="55"/>
      <c r="D11" s="7"/>
      <c r="E11" s="7"/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58" t="s">
        <v>25</v>
      </c>
      <c r="B12" s="55">
        <f t="shared" si="0"/>
        <v>0</v>
      </c>
      <c r="C12" s="55"/>
      <c r="D12" s="1"/>
      <c r="E12" s="1"/>
      <c r="F12" s="1"/>
      <c r="G12" s="2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58" t="s">
        <v>3</v>
      </c>
      <c r="B13" s="55">
        <f t="shared" si="0"/>
        <v>0</v>
      </c>
      <c r="C13" s="55"/>
    </row>
    <row r="14" spans="1:20" x14ac:dyDescent="0.2">
      <c r="A14" s="58" t="s">
        <v>26</v>
      </c>
      <c r="B14" s="55">
        <f t="shared" si="0"/>
        <v>0</v>
      </c>
      <c r="C14" s="55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20" s="7" customFormat="1" ht="25.5" x14ac:dyDescent="0.2">
      <c r="A15" s="58" t="s">
        <v>19</v>
      </c>
      <c r="B15" s="55">
        <f t="shared" si="0"/>
        <v>0</v>
      </c>
      <c r="C15" s="55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57" t="s">
        <v>4</v>
      </c>
      <c r="B16" s="55">
        <f t="shared" si="0"/>
        <v>0</v>
      </c>
      <c r="C16" s="55"/>
    </row>
    <row r="17" spans="1:20" x14ac:dyDescent="0.2">
      <c r="A17" s="57" t="s">
        <v>5</v>
      </c>
      <c r="B17" s="55">
        <f t="shared" si="0"/>
        <v>0</v>
      </c>
      <c r="C17" s="55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57" t="s">
        <v>27</v>
      </c>
      <c r="B18" s="55">
        <f t="shared" si="0"/>
        <v>0</v>
      </c>
      <c r="C18" s="55"/>
      <c r="D18" s="1"/>
      <c r="E18" s="1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57" t="s">
        <v>6</v>
      </c>
      <c r="B19" s="55">
        <f t="shared" si="0"/>
        <v>0</v>
      </c>
      <c r="C19" s="55"/>
    </row>
    <row r="20" spans="1:20" x14ac:dyDescent="0.2">
      <c r="A20" s="57" t="s">
        <v>22</v>
      </c>
      <c r="B20" s="55">
        <f t="shared" si="0"/>
        <v>0</v>
      </c>
      <c r="C20" s="55"/>
      <c r="D20" s="8"/>
      <c r="E20" s="8"/>
      <c r="F20" s="8"/>
      <c r="G20" s="8"/>
      <c r="H20" s="9"/>
      <c r="I20" s="8"/>
      <c r="J20" s="8"/>
      <c r="K20" s="8"/>
      <c r="L20" s="8"/>
      <c r="M20" s="8"/>
    </row>
    <row r="21" spans="1:20" s="8" customFormat="1" x14ac:dyDescent="0.2">
      <c r="A21" s="60" t="s">
        <v>7</v>
      </c>
      <c r="B21" s="59">
        <f t="shared" si="0"/>
        <v>0</v>
      </c>
      <c r="C21" s="59">
        <f>C22+C23+C29+C30+C35+C36+C37</f>
        <v>0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0" t="s">
        <v>12</v>
      </c>
      <c r="B22" s="55">
        <f t="shared" si="0"/>
        <v>0</v>
      </c>
      <c r="C22" s="55"/>
    </row>
    <row r="23" spans="1:20" x14ac:dyDescent="0.2">
      <c r="A23" s="60" t="s">
        <v>53</v>
      </c>
      <c r="B23" s="55">
        <f t="shared" si="0"/>
        <v>0</v>
      </c>
      <c r="C23" s="55"/>
    </row>
    <row r="24" spans="1:20" x14ac:dyDescent="0.2">
      <c r="A24" s="60" t="s">
        <v>56</v>
      </c>
      <c r="B24" s="55">
        <f t="shared" si="0"/>
        <v>0</v>
      </c>
      <c r="C24" s="55"/>
      <c r="N24" s="7"/>
      <c r="O24" s="7"/>
      <c r="P24" s="7"/>
      <c r="Q24" s="7"/>
      <c r="R24" s="7"/>
      <c r="S24" s="7"/>
      <c r="T24" s="7"/>
    </row>
    <row r="25" spans="1:20" x14ac:dyDescent="0.2">
      <c r="A25" s="60" t="s">
        <v>57</v>
      </c>
      <c r="B25" s="55">
        <f t="shared" si="0"/>
        <v>0</v>
      </c>
      <c r="C25" s="55"/>
      <c r="N25" s="7"/>
      <c r="O25" s="7"/>
      <c r="P25" s="7"/>
      <c r="Q25" s="7"/>
      <c r="R25" s="7"/>
      <c r="S25" s="7"/>
      <c r="T25" s="7"/>
    </row>
    <row r="26" spans="1:20" x14ac:dyDescent="0.2">
      <c r="A26" s="60" t="s">
        <v>58</v>
      </c>
      <c r="B26" s="55">
        <f t="shared" si="0"/>
        <v>0</v>
      </c>
      <c r="C26" s="55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0" t="s">
        <v>59</v>
      </c>
      <c r="B27" s="55">
        <f t="shared" si="0"/>
        <v>0</v>
      </c>
      <c r="C27" s="55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0" t="s">
        <v>60</v>
      </c>
      <c r="B28" s="55">
        <f t="shared" si="0"/>
        <v>0</v>
      </c>
      <c r="C28" s="55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0" t="s">
        <v>20</v>
      </c>
      <c r="B29" s="55">
        <f t="shared" si="0"/>
        <v>0</v>
      </c>
      <c r="C29" s="55"/>
    </row>
    <row r="30" spans="1:20" x14ac:dyDescent="0.2">
      <c r="A30" s="60" t="s">
        <v>29</v>
      </c>
      <c r="B30" s="55">
        <f t="shared" si="0"/>
        <v>0</v>
      </c>
      <c r="C30" s="55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1" t="s">
        <v>8</v>
      </c>
      <c r="B31" s="55">
        <f t="shared" si="0"/>
        <v>0</v>
      </c>
      <c r="C31" s="55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1" t="s">
        <v>9</v>
      </c>
      <c r="B32" s="55">
        <f t="shared" si="0"/>
        <v>0</v>
      </c>
      <c r="C32" s="55"/>
    </row>
    <row r="33" spans="1:20" x14ac:dyDescent="0.2">
      <c r="A33" s="61" t="s">
        <v>10</v>
      </c>
      <c r="B33" s="55">
        <f t="shared" si="0"/>
        <v>0</v>
      </c>
      <c r="C33" s="55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1" t="s">
        <v>11</v>
      </c>
      <c r="B34" s="55">
        <f t="shared" si="0"/>
        <v>0</v>
      </c>
      <c r="C34" s="55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0" t="s">
        <v>13</v>
      </c>
      <c r="B35" s="55">
        <f t="shared" si="0"/>
        <v>0</v>
      </c>
      <c r="C35" s="55"/>
    </row>
    <row r="36" spans="1:20" x14ac:dyDescent="0.2">
      <c r="A36" s="60" t="s">
        <v>14</v>
      </c>
      <c r="B36" s="55">
        <f t="shared" si="0"/>
        <v>0</v>
      </c>
      <c r="C36" s="55"/>
    </row>
    <row r="37" spans="1:20" x14ac:dyDescent="0.2">
      <c r="A37" s="60" t="s">
        <v>15</v>
      </c>
      <c r="B37" s="55">
        <f t="shared" si="0"/>
        <v>0</v>
      </c>
      <c r="C37" s="55"/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conditionalFormatting sqref="H3:H7 H21:H36 H10:K19">
    <cfRule type="cellIs" dxfId="119" priority="33" operator="equal">
      <formula>0</formula>
    </cfRule>
  </conditionalFormatting>
  <conditionalFormatting sqref="I3:I7 I21:I36">
    <cfRule type="cellIs" dxfId="118" priority="32" operator="equal">
      <formula>0</formula>
    </cfRule>
  </conditionalFormatting>
  <conditionalFormatting sqref="J3:J7 J21:J36">
    <cfRule type="cellIs" dxfId="117" priority="31" operator="equal">
      <formula>0</formula>
    </cfRule>
  </conditionalFormatting>
  <conditionalFormatting sqref="K3:K7 K21:K36">
    <cfRule type="cellIs" dxfId="116" priority="30" operator="equal">
      <formula>0</formula>
    </cfRule>
  </conditionalFormatting>
  <conditionalFormatting sqref="E3:G7 E21:G36 E10:G19">
    <cfRule type="cellIs" dxfId="115" priority="26" operator="equal">
      <formula>0</formula>
    </cfRule>
  </conditionalFormatting>
  <conditionalFormatting sqref="F1">
    <cfRule type="cellIs" dxfId="114" priority="24" operator="equal">
      <formula>0</formula>
    </cfRule>
  </conditionalFormatting>
  <conditionalFormatting sqref="D3:D7 D21:D36 D10:D19">
    <cfRule type="cellIs" dxfId="113" priority="1" operator="equal">
      <formula>0</formula>
    </cfRule>
  </conditionalFormatting>
  <printOptions horizontalCentered="1" verticalCentered="1"/>
  <pageMargins left="0.25" right="0.25" top="0.25" bottom="0.2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1657350</xdr:colOff>
                    <xdr:row>39</xdr:row>
                    <xdr:rowOff>0</xdr:rowOff>
                  </from>
                  <to>
                    <xdr:col>2</xdr:col>
                    <xdr:colOff>838200</xdr:colOff>
                    <xdr:row>43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B050"/>
    <pageSetUpPr fitToPage="1"/>
  </sheetPr>
  <dimension ref="A1:T42"/>
  <sheetViews>
    <sheetView zoomScale="130" zoomScaleNormal="130" workbookViewId="0">
      <selection activeCell="B36" sqref="B36"/>
    </sheetView>
  </sheetViews>
  <sheetFormatPr defaultColWidth="8.85546875" defaultRowHeight="12.75" x14ac:dyDescent="0.2"/>
  <cols>
    <col min="1" max="1" width="43" style="1" customWidth="1"/>
    <col min="2" max="2" width="20.28515625" style="1" customWidth="1"/>
    <col min="3" max="5" width="17.140625" style="1" customWidth="1"/>
    <col min="6" max="6" width="11.42578125" style="1" bestFit="1" customWidth="1"/>
    <col min="7" max="9" width="9" style="1" bestFit="1" customWidth="1"/>
    <col min="10" max="10" width="11.42578125" style="1" bestFit="1" customWidth="1"/>
    <col min="11" max="16384" width="8.85546875" style="1"/>
  </cols>
  <sheetData>
    <row r="1" spans="1:20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4" t="s">
        <v>104</v>
      </c>
      <c r="G1" s="63"/>
      <c r="H1" s="14"/>
      <c r="I1" s="17"/>
      <c r="J1" s="18"/>
      <c r="K1" s="18"/>
      <c r="L1" s="5"/>
      <c r="M1" s="5"/>
      <c r="Q1" s="2"/>
      <c r="R1" s="2"/>
    </row>
    <row r="2" spans="1:20" s="6" customFormat="1" ht="15.75" x14ac:dyDescent="0.2">
      <c r="A2" s="52" t="s">
        <v>71</v>
      </c>
      <c r="B2" s="53" t="s">
        <v>61</v>
      </c>
    </row>
    <row r="3" spans="1:20" x14ac:dyDescent="0.2">
      <c r="A3" s="54" t="s">
        <v>28</v>
      </c>
      <c r="B3" s="55">
        <f>Бензин!B3+Дизель!B3+Мазут!B3+СУГ!B3+ТПБ!B3</f>
        <v>0</v>
      </c>
      <c r="N3" s="3"/>
      <c r="O3" s="3"/>
      <c r="P3" s="3"/>
      <c r="Q3" s="3"/>
      <c r="R3" s="3"/>
      <c r="S3" s="3"/>
      <c r="T3" s="3"/>
    </row>
    <row r="4" spans="1:20" s="7" customFormat="1" x14ac:dyDescent="0.2">
      <c r="A4" s="54" t="s">
        <v>16</v>
      </c>
      <c r="B4" s="55">
        <f>Бензин!B4+Дизель!B4+Мазут!B4+СУГ!B4+ТПБ!B4</f>
        <v>0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54" t="s">
        <v>17</v>
      </c>
      <c r="B5" s="55">
        <f>Бензин!B5+Дизель!B5+Мазут!B5+СУГ!B5+ТПБ!B5</f>
        <v>0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20" x14ac:dyDescent="0.2">
      <c r="A6" s="54" t="s">
        <v>2</v>
      </c>
      <c r="B6" s="55">
        <f>Бензин!B6+Дизель!B6+Мазут!B6+СУГ!B6+ТПБ!B6</f>
        <v>0</v>
      </c>
    </row>
    <row r="7" spans="1:20" s="8" customFormat="1" x14ac:dyDescent="0.2">
      <c r="A7" s="54" t="s">
        <v>18</v>
      </c>
      <c r="B7" s="59">
        <f>Бензин!B7+Дизель!B7+Мазут!B7+СУГ!B7+ТПБ!B7</f>
        <v>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56" t="s">
        <v>24</v>
      </c>
      <c r="B8" s="55">
        <f>Бензин!B8+Дизель!B8+Мазут!B8+СУГ!B8+ТПБ!B8</f>
        <v>0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57" t="s">
        <v>32</v>
      </c>
      <c r="B9" s="55">
        <f>Бензин!B9+Дизель!B9+Мазут!B9+СУГ!B9+ТПБ!B9</f>
        <v>0</v>
      </c>
    </row>
    <row r="10" spans="1:20" x14ac:dyDescent="0.2">
      <c r="A10" s="57" t="s">
        <v>23</v>
      </c>
      <c r="B10" s="55">
        <f>Бензин!B10+Дизель!B10+Мазут!B10+СУГ!B10+ТПБ!B10</f>
        <v>0</v>
      </c>
    </row>
    <row r="11" spans="1:20" x14ac:dyDescent="0.2">
      <c r="A11" s="57" t="s">
        <v>21</v>
      </c>
      <c r="B11" s="55">
        <f>Бензин!B11+Дизель!B11+Мазут!B11+СУГ!B11+ТПБ!B11</f>
        <v>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58" t="s">
        <v>25</v>
      </c>
      <c r="B12" s="55">
        <f>Бензин!B12+Дизель!B12+Мазут!B12+СУГ!B12+ТПБ!B12</f>
        <v>0</v>
      </c>
      <c r="C12" s="1"/>
      <c r="D12" s="1"/>
      <c r="E12" s="1"/>
      <c r="F12" s="1"/>
      <c r="G12" s="2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58" t="s">
        <v>3</v>
      </c>
      <c r="B13" s="55">
        <f>Бензин!B13+Дизель!B13+Мазут!B13+СУГ!B13+ТПБ!B13</f>
        <v>0</v>
      </c>
    </row>
    <row r="14" spans="1:20" x14ac:dyDescent="0.2">
      <c r="A14" s="58" t="s">
        <v>26</v>
      </c>
      <c r="B14" s="55">
        <f>Бензин!B14+Дизель!B14+Мазут!B14+СУГ!B14+ТПБ!B14</f>
        <v>0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20" s="7" customFormat="1" ht="25.5" x14ac:dyDescent="0.2">
      <c r="A15" s="58" t="s">
        <v>19</v>
      </c>
      <c r="B15" s="55">
        <f>Бензин!B15+Дизель!B15+Мазут!B15+СУГ!B15+ТПБ!B15</f>
        <v>0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57" t="s">
        <v>4</v>
      </c>
      <c r="B16" s="55">
        <f>Бензин!B16+Дизель!B16+Мазут!B16+СУГ!B16+ТПБ!B16</f>
        <v>0</v>
      </c>
    </row>
    <row r="17" spans="1:20" x14ac:dyDescent="0.2">
      <c r="A17" s="57" t="s">
        <v>5</v>
      </c>
      <c r="B17" s="55">
        <f>Бензин!B17+Дизель!B17+Мазут!B17+СУГ!B17+ТПБ!B17</f>
        <v>0</v>
      </c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57" t="s">
        <v>27</v>
      </c>
      <c r="B18" s="55">
        <f>Бензин!B18+Дизель!B18+Мазут!B18+СУГ!B18+ТПБ!B18</f>
        <v>0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57" t="s">
        <v>6</v>
      </c>
      <c r="B19" s="55">
        <f>Бензин!B19+Дизель!B19+Мазут!B19+СУГ!B19+ТПБ!B19</f>
        <v>0</v>
      </c>
    </row>
    <row r="20" spans="1:20" x14ac:dyDescent="0.2">
      <c r="A20" s="57" t="s">
        <v>22</v>
      </c>
      <c r="B20" s="59">
        <f>Бензин!B20+Дизель!B20+Мазут!B20+СУГ!B20+ТПБ!B20</f>
        <v>0</v>
      </c>
      <c r="C20" s="8"/>
      <c r="D20" s="8"/>
      <c r="E20" s="8"/>
      <c r="F20" s="8"/>
      <c r="G20" s="8"/>
      <c r="H20" s="9"/>
      <c r="I20" s="8"/>
      <c r="J20" s="8"/>
      <c r="K20" s="8"/>
      <c r="L20" s="8"/>
      <c r="M20" s="8"/>
    </row>
    <row r="21" spans="1:20" s="8" customFormat="1" x14ac:dyDescent="0.2">
      <c r="A21" s="60" t="s">
        <v>7</v>
      </c>
      <c r="B21" s="55">
        <f>Бензин!B21+Дизель!B21+Мазут!B21+СУГ!B21+ТПБ!B21</f>
        <v>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0" t="s">
        <v>12</v>
      </c>
      <c r="B22" s="55">
        <f>Бензин!B22+Дизель!B22+Мазут!B22+СУГ!B22+ТПБ!B22</f>
        <v>0</v>
      </c>
    </row>
    <row r="23" spans="1:20" x14ac:dyDescent="0.2">
      <c r="A23" s="60" t="s">
        <v>53</v>
      </c>
      <c r="B23" s="55">
        <f>Бензин!B23+Дизель!B23+Мазут!B23+СУГ!B23+ТПБ!B23</f>
        <v>0</v>
      </c>
    </row>
    <row r="24" spans="1:20" x14ac:dyDescent="0.2">
      <c r="A24" s="60" t="s">
        <v>56</v>
      </c>
      <c r="B24" s="55">
        <f>Бензин!B24+Дизель!B24+Мазут!B24+СУГ!B25+ТПБ!B24</f>
        <v>0</v>
      </c>
      <c r="N24" s="7"/>
      <c r="O24" s="7"/>
      <c r="P24" s="7"/>
      <c r="Q24" s="7"/>
      <c r="R24" s="7"/>
      <c r="S24" s="7"/>
      <c r="T24" s="7"/>
    </row>
    <row r="25" spans="1:20" x14ac:dyDescent="0.2">
      <c r="A25" s="60" t="s">
        <v>57</v>
      </c>
      <c r="B25" s="55">
        <f>Бензин!B25+Дизель!B25+Мазут!B25+СУГ!B25+ТПБ!B25</f>
        <v>0</v>
      </c>
      <c r="N25" s="7"/>
      <c r="O25" s="7"/>
      <c r="P25" s="7"/>
      <c r="Q25" s="7"/>
      <c r="R25" s="7"/>
      <c r="S25" s="7"/>
      <c r="T25" s="7"/>
    </row>
    <row r="26" spans="1:20" x14ac:dyDescent="0.2">
      <c r="A26" s="60" t="s">
        <v>58</v>
      </c>
      <c r="B26" s="55">
        <f>Бензин!B26+Дизель!B26+Мазут!B26+СУГ!B26+ТПБ!B26</f>
        <v>0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0" t="s">
        <v>59</v>
      </c>
      <c r="B27" s="55">
        <f>Бензин!B27+Дизель!B27+Мазут!B27+СУГ!B27+ТПБ!B27</f>
        <v>0</v>
      </c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0" t="s">
        <v>60</v>
      </c>
      <c r="B28" s="55">
        <f>Бензин!B28+Дизель!B28+Мазут!B28+СУГ!B28+ТПБ!B28</f>
        <v>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0" t="s">
        <v>20</v>
      </c>
      <c r="B29" s="55">
        <f>Бензин!B29+Дизель!B29+Мазут!B29+СУГ!B29+ТПБ!B29</f>
        <v>0</v>
      </c>
    </row>
    <row r="30" spans="1:20" x14ac:dyDescent="0.2">
      <c r="A30" s="60" t="s">
        <v>29</v>
      </c>
      <c r="B30" s="55">
        <f>Бензин!B30+Дизель!B30+Мазут!B30+СУГ!B30+ТПБ!B30</f>
        <v>0</v>
      </c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1" t="s">
        <v>8</v>
      </c>
      <c r="B31" s="55">
        <f>Бензин!B31+Дизель!B31+Мазут!B31+СУГ!B31+ТПБ!B31</f>
        <v>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1" t="s">
        <v>9</v>
      </c>
      <c r="B32" s="55">
        <f>Бензин!B32+Дизель!B32+Мазут!B32+СУГ!B32+ТПБ!B32</f>
        <v>0</v>
      </c>
    </row>
    <row r="33" spans="1:20" x14ac:dyDescent="0.2">
      <c r="A33" s="61" t="s">
        <v>10</v>
      </c>
      <c r="B33" s="55">
        <f>Бензин!B33+Дизель!B33+Мазут!B33+СУГ!B33+ТПБ!B33</f>
        <v>0</v>
      </c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1" t="s">
        <v>11</v>
      </c>
      <c r="B34" s="55">
        <f>Бензин!B34+Дизель!B34+Мазут!B34+СУГ!B34+ТПБ!B34</f>
        <v>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0" t="s">
        <v>13</v>
      </c>
      <c r="B35" s="55">
        <f>Бензин!B35+Дизель!B35+Мазут!B35+СУГ!B35+ТПБ!B35</f>
        <v>0</v>
      </c>
    </row>
    <row r="36" spans="1:20" x14ac:dyDescent="0.2">
      <c r="A36" s="60" t="s">
        <v>14</v>
      </c>
      <c r="B36" s="55">
        <f>Бензин!B36+Дизель!B36+Мазут!B36+СУГ!B36+ТПБ!B36</f>
        <v>0</v>
      </c>
    </row>
    <row r="37" spans="1:20" x14ac:dyDescent="0.2">
      <c r="A37" s="60" t="s">
        <v>15</v>
      </c>
      <c r="B37" s="55">
        <f>Бензин!B37+Дизель!B37+Мазут!B37+СУГ!B37+ТПБ!B37</f>
        <v>0</v>
      </c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conditionalFormatting sqref="H3:H7 H21:H36 H10:K19">
    <cfRule type="cellIs" dxfId="112" priority="12" operator="equal">
      <formula>0</formula>
    </cfRule>
  </conditionalFormatting>
  <conditionalFormatting sqref="I3:I7 I21:I36">
    <cfRule type="cellIs" dxfId="111" priority="11" operator="equal">
      <formula>0</formula>
    </cfRule>
  </conditionalFormatting>
  <conditionalFormatting sqref="J3:J7 J21:J36">
    <cfRule type="cellIs" dxfId="110" priority="10" operator="equal">
      <formula>0</formula>
    </cfRule>
  </conditionalFormatting>
  <conditionalFormatting sqref="K3:K7 K21:K36">
    <cfRule type="cellIs" dxfId="109" priority="9" operator="equal">
      <formula>0</formula>
    </cfRule>
  </conditionalFormatting>
  <conditionalFormatting sqref="D3:G7 D21:G36 D10:G19">
    <cfRule type="cellIs" dxfId="108" priority="5" operator="equal">
      <formula>0</formula>
    </cfRule>
  </conditionalFormatting>
  <conditionalFormatting sqref="C3:C7 C21:C36 C10:C19">
    <cfRule type="cellIs" dxfId="107" priority="4" operator="equal">
      <formula>0</formula>
    </cfRule>
  </conditionalFormatting>
  <conditionalFormatting sqref="B3:B36">
    <cfRule type="cellIs" dxfId="106" priority="3" operator="equal">
      <formula>0</formula>
    </cfRule>
  </conditionalFormatting>
  <conditionalFormatting sqref="B37">
    <cfRule type="cellIs" dxfId="105" priority="2" operator="equal">
      <formula>0</formula>
    </cfRule>
  </conditionalFormatting>
  <conditionalFormatting sqref="F1">
    <cfRule type="cellIs" dxfId="104" priority="1" operator="equal">
      <formula>0</formula>
    </cfRule>
  </conditionalFormatting>
  <printOptions horizontalCentered="1" verticalCentered="1"/>
  <pageMargins left="0.25" right="0.25" top="0.25" bottom="0.25" header="0" footer="0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>
    <pageSetUpPr fitToPage="1"/>
  </sheetPr>
  <dimension ref="A1:T42"/>
  <sheetViews>
    <sheetView zoomScale="115" zoomScaleNormal="115" workbookViewId="0">
      <selection activeCell="C3" sqref="C3:C37"/>
    </sheetView>
  </sheetViews>
  <sheetFormatPr defaultColWidth="8.85546875" defaultRowHeight="12.75" x14ac:dyDescent="0.2"/>
  <cols>
    <col min="1" max="1" width="42.5703125" style="1" customWidth="1"/>
    <col min="2" max="2" width="14.5703125" style="1" customWidth="1"/>
    <col min="3" max="5" width="15.42578125" style="1" customWidth="1"/>
    <col min="6" max="6" width="11.42578125" style="1" bestFit="1" customWidth="1"/>
    <col min="7" max="9" width="9" style="1" bestFit="1" customWidth="1"/>
    <col min="10" max="10" width="11.42578125" style="1" bestFit="1" customWidth="1"/>
    <col min="11" max="16384" width="8.85546875" style="1"/>
  </cols>
  <sheetData>
    <row r="1" spans="1:20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4" t="s">
        <v>104</v>
      </c>
      <c r="G1" s="63"/>
      <c r="H1" s="14"/>
      <c r="I1" s="17"/>
      <c r="J1" s="18"/>
      <c r="K1" s="18"/>
      <c r="L1" s="5"/>
      <c r="M1" s="5"/>
      <c r="Q1" s="2"/>
      <c r="R1" s="2"/>
    </row>
    <row r="2" spans="1:20" s="6" customFormat="1" ht="51" x14ac:dyDescent="0.2">
      <c r="A2" s="52" t="s">
        <v>70</v>
      </c>
      <c r="B2" s="53" t="s">
        <v>83</v>
      </c>
      <c r="C2" s="53" t="s">
        <v>106</v>
      </c>
    </row>
    <row r="3" spans="1:20" x14ac:dyDescent="0.2">
      <c r="A3" s="54" t="s">
        <v>28</v>
      </c>
      <c r="B3" s="55">
        <f>C3*1.49/1000</f>
        <v>0</v>
      </c>
      <c r="C3" s="55"/>
      <c r="I3" s="3"/>
      <c r="N3" s="3"/>
      <c r="O3" s="3"/>
      <c r="P3" s="3"/>
      <c r="Q3" s="3"/>
      <c r="R3" s="3"/>
      <c r="S3" s="3"/>
      <c r="T3" s="3"/>
    </row>
    <row r="4" spans="1:20" s="7" customFormat="1" x14ac:dyDescent="0.2">
      <c r="A4" s="54" t="s">
        <v>16</v>
      </c>
      <c r="B4" s="55">
        <f t="shared" ref="B4:B37" si="0">C4*1.49/1000</f>
        <v>0</v>
      </c>
      <c r="C4" s="5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54" t="s">
        <v>17</v>
      </c>
      <c r="B5" s="55">
        <f t="shared" si="0"/>
        <v>0</v>
      </c>
      <c r="C5" s="55"/>
      <c r="D5" s="7"/>
      <c r="E5" s="7"/>
      <c r="F5" s="7"/>
      <c r="G5" s="7"/>
      <c r="H5" s="7"/>
      <c r="J5" s="7"/>
      <c r="K5" s="7"/>
      <c r="L5" s="7"/>
      <c r="M5" s="7"/>
    </row>
    <row r="6" spans="1:20" x14ac:dyDescent="0.2">
      <c r="A6" s="54" t="s">
        <v>2</v>
      </c>
      <c r="B6" s="55">
        <f t="shared" si="0"/>
        <v>0</v>
      </c>
      <c r="C6" s="55"/>
    </row>
    <row r="7" spans="1:20" s="8" customFormat="1" x14ac:dyDescent="0.2">
      <c r="A7" s="54" t="s">
        <v>18</v>
      </c>
      <c r="B7" s="59">
        <f t="shared" si="0"/>
        <v>0</v>
      </c>
      <c r="C7" s="59">
        <f>C3+C4-C5+C6</f>
        <v>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56" t="s">
        <v>24</v>
      </c>
      <c r="B8" s="59">
        <f t="shared" si="0"/>
        <v>0</v>
      </c>
      <c r="C8" s="59">
        <f>C7-C9-C16-C17-C18-C19-C20-C21</f>
        <v>0</v>
      </c>
      <c r="D8" s="8"/>
      <c r="E8" s="8"/>
      <c r="F8" s="8"/>
      <c r="G8" s="8"/>
      <c r="H8" s="8"/>
      <c r="I8" s="7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57" t="s">
        <v>32</v>
      </c>
      <c r="B9" s="55">
        <f t="shared" si="0"/>
        <v>0</v>
      </c>
      <c r="C9" s="55"/>
    </row>
    <row r="10" spans="1:20" x14ac:dyDescent="0.2">
      <c r="A10" s="57" t="s">
        <v>23</v>
      </c>
      <c r="B10" s="55">
        <f t="shared" si="0"/>
        <v>0</v>
      </c>
      <c r="C10" s="55"/>
    </row>
    <row r="11" spans="1:20" x14ac:dyDescent="0.2">
      <c r="A11" s="57" t="s">
        <v>21</v>
      </c>
      <c r="B11" s="55">
        <f t="shared" si="0"/>
        <v>0</v>
      </c>
      <c r="C11" s="55"/>
      <c r="D11" s="7"/>
      <c r="E11" s="7"/>
      <c r="F11" s="7"/>
      <c r="G11" s="7"/>
      <c r="H11" s="7"/>
      <c r="I11" s="8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58" t="s">
        <v>25</v>
      </c>
      <c r="B12" s="55">
        <f t="shared" si="0"/>
        <v>0</v>
      </c>
      <c r="C12" s="55"/>
      <c r="D12" s="1"/>
      <c r="E12" s="1"/>
      <c r="F12" s="1"/>
      <c r="G12" s="1"/>
      <c r="H12" s="1"/>
      <c r="I12" s="3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58" t="s">
        <v>3</v>
      </c>
      <c r="B13" s="55">
        <f t="shared" si="0"/>
        <v>0</v>
      </c>
      <c r="C13" s="55"/>
    </row>
    <row r="14" spans="1:20" x14ac:dyDescent="0.2">
      <c r="A14" s="58" t="s">
        <v>26</v>
      </c>
      <c r="B14" s="55">
        <f t="shared" si="0"/>
        <v>0</v>
      </c>
      <c r="C14" s="55"/>
      <c r="D14" s="7"/>
      <c r="E14" s="7"/>
      <c r="F14" s="7"/>
      <c r="G14" s="7"/>
      <c r="H14" s="7"/>
      <c r="J14" s="7"/>
      <c r="K14" s="7"/>
      <c r="L14" s="7"/>
      <c r="M14" s="7"/>
    </row>
    <row r="15" spans="1:20" s="7" customFormat="1" ht="25.5" x14ac:dyDescent="0.2">
      <c r="A15" s="58" t="s">
        <v>19</v>
      </c>
      <c r="B15" s="55">
        <f t="shared" si="0"/>
        <v>0</v>
      </c>
      <c r="C15" s="55"/>
      <c r="D15" s="1"/>
      <c r="E15" s="1"/>
      <c r="F15" s="1"/>
      <c r="G15" s="1"/>
      <c r="H15" s="1"/>
      <c r="J15" s="1"/>
      <c r="K15" s="1"/>
      <c r="L15" s="1"/>
      <c r="M15" s="1"/>
    </row>
    <row r="16" spans="1:20" x14ac:dyDescent="0.2">
      <c r="A16" s="57" t="s">
        <v>4</v>
      </c>
      <c r="B16" s="55">
        <f t="shared" si="0"/>
        <v>0</v>
      </c>
      <c r="C16" s="55"/>
    </row>
    <row r="17" spans="1:20" x14ac:dyDescent="0.2">
      <c r="A17" s="57" t="s">
        <v>5</v>
      </c>
      <c r="B17" s="55">
        <f t="shared" si="0"/>
        <v>0</v>
      </c>
      <c r="C17" s="55"/>
      <c r="D17" s="7"/>
      <c r="E17" s="7"/>
      <c r="F17" s="7"/>
      <c r="G17" s="7"/>
      <c r="H17" s="7"/>
      <c r="J17" s="7"/>
      <c r="K17" s="7"/>
      <c r="L17" s="7"/>
      <c r="M17" s="7"/>
    </row>
    <row r="18" spans="1:20" s="7" customFormat="1" x14ac:dyDescent="0.2">
      <c r="A18" s="57" t="s">
        <v>27</v>
      </c>
      <c r="B18" s="55">
        <f t="shared" si="0"/>
        <v>0</v>
      </c>
      <c r="C18" s="55"/>
      <c r="D18" s="1"/>
      <c r="E18" s="1"/>
      <c r="F18" s="1"/>
      <c r="G18" s="1"/>
      <c r="H18" s="1"/>
      <c r="I18" s="8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57" t="s">
        <v>6</v>
      </c>
      <c r="B19" s="55">
        <f t="shared" si="0"/>
        <v>0</v>
      </c>
      <c r="C19" s="55"/>
    </row>
    <row r="20" spans="1:20" x14ac:dyDescent="0.2">
      <c r="A20" s="57" t="s">
        <v>22</v>
      </c>
      <c r="B20" s="55">
        <f t="shared" si="0"/>
        <v>0</v>
      </c>
      <c r="C20" s="55"/>
      <c r="D20" s="8"/>
      <c r="E20" s="8"/>
      <c r="F20" s="8"/>
      <c r="G20" s="8"/>
      <c r="H20" s="8"/>
      <c r="J20" s="8"/>
      <c r="K20" s="8"/>
      <c r="L20" s="8"/>
      <c r="M20" s="8"/>
    </row>
    <row r="21" spans="1:20" s="8" customFormat="1" x14ac:dyDescent="0.2">
      <c r="A21" s="60" t="s">
        <v>7</v>
      </c>
      <c r="B21" s="59">
        <f t="shared" si="0"/>
        <v>0</v>
      </c>
      <c r="C21" s="59">
        <f>C22+C23+C29+C30+C35+C36+C37</f>
        <v>0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0" t="s">
        <v>12</v>
      </c>
      <c r="B22" s="55">
        <f t="shared" si="0"/>
        <v>0</v>
      </c>
      <c r="C22" s="55"/>
    </row>
    <row r="23" spans="1:20" x14ac:dyDescent="0.2">
      <c r="A23" s="60" t="s">
        <v>53</v>
      </c>
      <c r="B23" s="55">
        <f t="shared" si="0"/>
        <v>0</v>
      </c>
      <c r="C23" s="55"/>
    </row>
    <row r="24" spans="1:20" x14ac:dyDescent="0.2">
      <c r="A24" s="60" t="s">
        <v>56</v>
      </c>
      <c r="B24" s="55">
        <f t="shared" si="0"/>
        <v>0</v>
      </c>
      <c r="C24" s="55"/>
      <c r="I24" s="7"/>
      <c r="N24" s="7"/>
      <c r="O24" s="7"/>
      <c r="P24" s="7"/>
      <c r="Q24" s="7"/>
      <c r="R24" s="7"/>
      <c r="S24" s="7"/>
      <c r="T24" s="7"/>
    </row>
    <row r="25" spans="1:20" x14ac:dyDescent="0.2">
      <c r="A25" s="60" t="s">
        <v>57</v>
      </c>
      <c r="B25" s="55">
        <f t="shared" si="0"/>
        <v>0</v>
      </c>
      <c r="C25" s="55"/>
      <c r="I25" s="7"/>
      <c r="N25" s="7"/>
      <c r="O25" s="7"/>
      <c r="P25" s="7"/>
      <c r="Q25" s="7"/>
      <c r="R25" s="7"/>
      <c r="S25" s="7"/>
      <c r="T25" s="7"/>
    </row>
    <row r="26" spans="1:20" x14ac:dyDescent="0.2">
      <c r="A26" s="60" t="s">
        <v>58</v>
      </c>
      <c r="B26" s="55">
        <f t="shared" si="0"/>
        <v>0</v>
      </c>
      <c r="C26" s="55"/>
      <c r="D26" s="7"/>
      <c r="E26" s="7"/>
      <c r="F26" s="7"/>
      <c r="G26" s="7"/>
      <c r="H26" s="7"/>
      <c r="J26" s="7"/>
      <c r="K26" s="7"/>
      <c r="L26" s="7"/>
      <c r="M26" s="7"/>
    </row>
    <row r="27" spans="1:20" s="7" customFormat="1" ht="25.5" x14ac:dyDescent="0.2">
      <c r="A27" s="60" t="s">
        <v>59</v>
      </c>
      <c r="B27" s="55">
        <f t="shared" si="0"/>
        <v>0</v>
      </c>
      <c r="C27" s="55"/>
      <c r="I27" s="1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0" t="s">
        <v>60</v>
      </c>
      <c r="B28" s="55">
        <f t="shared" si="0"/>
        <v>0</v>
      </c>
      <c r="C28" s="55"/>
      <c r="D28" s="1"/>
      <c r="E28" s="1"/>
      <c r="F28" s="1"/>
      <c r="G28" s="1"/>
      <c r="H28" s="1"/>
      <c r="J28" s="1"/>
      <c r="K28" s="1"/>
      <c r="L28" s="1"/>
      <c r="M28" s="1"/>
    </row>
    <row r="29" spans="1:20" x14ac:dyDescent="0.2">
      <c r="A29" s="60" t="s">
        <v>20</v>
      </c>
      <c r="B29" s="55">
        <f t="shared" si="0"/>
        <v>0</v>
      </c>
      <c r="C29" s="55"/>
    </row>
    <row r="30" spans="1:20" x14ac:dyDescent="0.2">
      <c r="A30" s="60" t="s">
        <v>29</v>
      </c>
      <c r="B30" s="55">
        <f t="shared" si="0"/>
        <v>0</v>
      </c>
      <c r="C30" s="55"/>
      <c r="D30" s="7"/>
      <c r="E30" s="7"/>
      <c r="F30" s="7"/>
      <c r="G30" s="7"/>
      <c r="H30" s="7"/>
      <c r="J30" s="7"/>
      <c r="K30" s="7"/>
      <c r="L30" s="7"/>
      <c r="M30" s="7"/>
    </row>
    <row r="31" spans="1:20" s="7" customFormat="1" x14ac:dyDescent="0.2">
      <c r="A31" s="61" t="s">
        <v>8</v>
      </c>
      <c r="B31" s="55">
        <f t="shared" si="0"/>
        <v>0</v>
      </c>
      <c r="C31" s="55"/>
      <c r="D31" s="1"/>
      <c r="E31" s="1"/>
      <c r="F31" s="1"/>
      <c r="G31" s="1"/>
      <c r="H31" s="1"/>
      <c r="J31" s="1"/>
      <c r="K31" s="1"/>
      <c r="L31" s="1"/>
      <c r="M31" s="1"/>
    </row>
    <row r="32" spans="1:20" x14ac:dyDescent="0.2">
      <c r="A32" s="61" t="s">
        <v>9</v>
      </c>
      <c r="B32" s="55">
        <f t="shared" si="0"/>
        <v>0</v>
      </c>
      <c r="C32" s="55"/>
    </row>
    <row r="33" spans="1:20" x14ac:dyDescent="0.2">
      <c r="A33" s="61" t="s">
        <v>10</v>
      </c>
      <c r="B33" s="55">
        <f t="shared" si="0"/>
        <v>0</v>
      </c>
      <c r="C33" s="55"/>
      <c r="D33" s="7"/>
      <c r="E33" s="7"/>
      <c r="F33" s="7"/>
      <c r="G33" s="7"/>
      <c r="H33" s="7"/>
      <c r="J33" s="7"/>
      <c r="K33" s="7"/>
      <c r="L33" s="7"/>
      <c r="M33" s="7"/>
    </row>
    <row r="34" spans="1:20" s="7" customFormat="1" x14ac:dyDescent="0.2">
      <c r="A34" s="61" t="s">
        <v>11</v>
      </c>
      <c r="B34" s="55">
        <f t="shared" si="0"/>
        <v>0</v>
      </c>
      <c r="C34" s="55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0" t="s">
        <v>13</v>
      </c>
      <c r="B35" s="55">
        <f t="shared" si="0"/>
        <v>0</v>
      </c>
      <c r="C35" s="55"/>
    </row>
    <row r="36" spans="1:20" x14ac:dyDescent="0.2">
      <c r="A36" s="60" t="s">
        <v>14</v>
      </c>
      <c r="B36" s="55">
        <f t="shared" si="0"/>
        <v>0</v>
      </c>
      <c r="C36" s="55"/>
    </row>
    <row r="37" spans="1:20" x14ac:dyDescent="0.2">
      <c r="A37" s="60" t="s">
        <v>15</v>
      </c>
      <c r="B37" s="55">
        <f t="shared" si="0"/>
        <v>0</v>
      </c>
      <c r="C37" s="55"/>
      <c r="F37" s="2"/>
      <c r="G37" s="2"/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sheetProtection selectLockedCells="1" selectUnlockedCells="1"/>
  <conditionalFormatting sqref="H3:H7 H21:H36 H10:K19">
    <cfRule type="cellIs" dxfId="103" priority="73" operator="equal">
      <formula>0</formula>
    </cfRule>
  </conditionalFormatting>
  <conditionalFormatting sqref="I3:I7 I21:I36">
    <cfRule type="cellIs" dxfId="102" priority="72" operator="equal">
      <formula>0</formula>
    </cfRule>
  </conditionalFormatting>
  <conditionalFormatting sqref="J3:J7 J21:J36">
    <cfRule type="cellIs" dxfId="101" priority="71" operator="equal">
      <formula>0</formula>
    </cfRule>
  </conditionalFormatting>
  <conditionalFormatting sqref="K3:K7 K21:K36">
    <cfRule type="cellIs" dxfId="100" priority="70" operator="equal">
      <formula>0</formula>
    </cfRule>
  </conditionalFormatting>
  <conditionalFormatting sqref="E3:E7 E21:E36 E10:E19">
    <cfRule type="cellIs" dxfId="99" priority="66" operator="equal">
      <formula>0</formula>
    </cfRule>
  </conditionalFormatting>
  <conditionalFormatting sqref="D3:D7 D21:D36 D10:D19">
    <cfRule type="cellIs" dxfId="98" priority="65" operator="equal">
      <formula>0</formula>
    </cfRule>
  </conditionalFormatting>
  <conditionalFormatting sqref="F1">
    <cfRule type="cellIs" dxfId="97" priority="64" operator="equal">
      <formula>0</formula>
    </cfRule>
  </conditionalFormatting>
  <conditionalFormatting sqref="D3:D6 D22:D36">
    <cfRule type="cellIs" dxfId="96" priority="58" operator="equal">
      <formula>0</formula>
    </cfRule>
  </conditionalFormatting>
  <conditionalFormatting sqref="D37">
    <cfRule type="cellIs" dxfId="95" priority="57" operator="equal">
      <formula>0</formula>
    </cfRule>
  </conditionalFormatting>
  <conditionalFormatting sqref="D9:D20">
    <cfRule type="cellIs" dxfId="94" priority="56" operator="equal">
      <formula>0</formula>
    </cfRule>
  </conditionalFormatting>
  <conditionalFormatting sqref="E3:E7 E21:E36 E10:E19">
    <cfRule type="cellIs" dxfId="93" priority="50" operator="equal">
      <formula>0</formula>
    </cfRule>
  </conditionalFormatting>
  <conditionalFormatting sqref="E3:E6 E22:E36">
    <cfRule type="cellIs" dxfId="92" priority="49" operator="equal">
      <formula>0</formula>
    </cfRule>
  </conditionalFormatting>
  <conditionalFormatting sqref="E37">
    <cfRule type="cellIs" dxfId="91" priority="48" operator="equal">
      <formula>0</formula>
    </cfRule>
  </conditionalFormatting>
  <conditionalFormatting sqref="E9:E20">
    <cfRule type="cellIs" dxfId="90" priority="47" operator="equal">
      <formula>0</formula>
    </cfRule>
  </conditionalFormatting>
  <conditionalFormatting sqref="F3:F7 F21:F36 F10:F19">
    <cfRule type="cellIs" dxfId="89" priority="14" operator="equal">
      <formula>0</formula>
    </cfRule>
  </conditionalFormatting>
  <conditionalFormatting sqref="F3:F7 F21:F36 F10:F19">
    <cfRule type="cellIs" dxfId="88" priority="13" operator="equal">
      <formula>0</formula>
    </cfRule>
  </conditionalFormatting>
  <conditionalFormatting sqref="F3:F6 F22:F36">
    <cfRule type="cellIs" dxfId="87" priority="12" operator="equal">
      <formula>0</formula>
    </cfRule>
  </conditionalFormatting>
  <conditionalFormatting sqref="F37">
    <cfRule type="cellIs" dxfId="86" priority="11" operator="equal">
      <formula>0</formula>
    </cfRule>
  </conditionalFormatting>
  <conditionalFormatting sqref="F9:F20">
    <cfRule type="cellIs" dxfId="85" priority="10" operator="equal">
      <formula>0</formula>
    </cfRule>
  </conditionalFormatting>
  <conditionalFormatting sqref="G3:G7 G21:G36 G10:G19">
    <cfRule type="cellIs" dxfId="84" priority="9" operator="equal">
      <formula>0</formula>
    </cfRule>
  </conditionalFormatting>
  <conditionalFormatting sqref="G3:G7 G21:G36 G10:G19">
    <cfRule type="cellIs" dxfId="83" priority="8" operator="equal">
      <formula>0</formula>
    </cfRule>
  </conditionalFormatting>
  <conditionalFormatting sqref="G3:G6 G22:G36">
    <cfRule type="cellIs" dxfId="82" priority="7" operator="equal">
      <formula>0</formula>
    </cfRule>
  </conditionalFormatting>
  <conditionalFormatting sqref="G37">
    <cfRule type="cellIs" dxfId="81" priority="6" operator="equal">
      <formula>0</formula>
    </cfRule>
  </conditionalFormatting>
  <conditionalFormatting sqref="G9:G20">
    <cfRule type="cellIs" dxfId="80" priority="5" operator="equal">
      <formula>0</formula>
    </cfRule>
  </conditionalFormatting>
  <conditionalFormatting sqref="D10:F19">
    <cfRule type="cellIs" dxfId="79" priority="4" operator="equal">
      <formula>0</formula>
    </cfRule>
  </conditionalFormatting>
  <conditionalFormatting sqref="D3:D7 D21:D36">
    <cfRule type="cellIs" dxfId="78" priority="3" operator="equal">
      <formula>0</formula>
    </cfRule>
  </conditionalFormatting>
  <conditionalFormatting sqref="E3:E7 E21:E36">
    <cfRule type="cellIs" dxfId="77" priority="2" operator="equal">
      <formula>0</formula>
    </cfRule>
  </conditionalFormatting>
  <conditionalFormatting sqref="F3:F7 F21:F36">
    <cfRule type="cellIs" dxfId="76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1714500</xdr:colOff>
                    <xdr:row>38</xdr:row>
                    <xdr:rowOff>19050</xdr:rowOff>
                  </from>
                  <to>
                    <xdr:col>3</xdr:col>
                    <xdr:colOff>0</xdr:colOff>
                    <xdr:row>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pageSetUpPr fitToPage="1"/>
  </sheetPr>
  <dimension ref="A1:T42"/>
  <sheetViews>
    <sheetView zoomScale="115" zoomScaleNormal="115" workbookViewId="0">
      <selection activeCell="C3" sqref="C3:C37"/>
    </sheetView>
  </sheetViews>
  <sheetFormatPr defaultColWidth="8.85546875" defaultRowHeight="12.75" x14ac:dyDescent="0.2"/>
  <cols>
    <col min="1" max="1" width="42.85546875" style="1" customWidth="1"/>
    <col min="2" max="2" width="14.28515625" style="1" customWidth="1"/>
    <col min="3" max="5" width="15.7109375" style="1" customWidth="1"/>
    <col min="6" max="6" width="11.42578125" style="1" bestFit="1" customWidth="1"/>
    <col min="7" max="9" width="9" style="1" bestFit="1" customWidth="1"/>
    <col min="10" max="10" width="11.42578125" style="1" bestFit="1" customWidth="1"/>
    <col min="11" max="16384" width="8.85546875" style="1"/>
  </cols>
  <sheetData>
    <row r="1" spans="1:20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4" t="s">
        <v>104</v>
      </c>
      <c r="G1" s="63"/>
      <c r="H1" s="14"/>
      <c r="I1" s="17"/>
      <c r="J1" s="18"/>
      <c r="K1" s="18"/>
      <c r="L1" s="5"/>
      <c r="M1" s="5"/>
      <c r="Q1" s="2"/>
      <c r="R1" s="2"/>
    </row>
    <row r="2" spans="1:20" s="6" customFormat="1" ht="38.25" x14ac:dyDescent="0.2">
      <c r="A2" s="52" t="s">
        <v>69</v>
      </c>
      <c r="B2" s="53" t="s">
        <v>84</v>
      </c>
      <c r="C2" s="53" t="s">
        <v>107</v>
      </c>
    </row>
    <row r="3" spans="1:20" x14ac:dyDescent="0.2">
      <c r="A3" s="54" t="s">
        <v>28</v>
      </c>
      <c r="B3" s="55">
        <f>C3*1.45/1000</f>
        <v>0</v>
      </c>
      <c r="C3" s="55"/>
      <c r="N3" s="3"/>
      <c r="O3" s="3"/>
      <c r="P3" s="3"/>
      <c r="Q3" s="3"/>
      <c r="R3" s="3"/>
      <c r="S3" s="3"/>
      <c r="T3" s="3"/>
    </row>
    <row r="4" spans="1:20" s="7" customFormat="1" x14ac:dyDescent="0.2">
      <c r="A4" s="54" t="s">
        <v>16</v>
      </c>
      <c r="B4" s="55">
        <f t="shared" ref="B4:B37" si="0">C4*1.45/1000</f>
        <v>0</v>
      </c>
      <c r="C4" s="5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54" t="s">
        <v>17</v>
      </c>
      <c r="B5" s="55">
        <f t="shared" si="0"/>
        <v>0</v>
      </c>
      <c r="C5" s="55"/>
      <c r="D5" s="7"/>
      <c r="E5" s="7"/>
      <c r="F5" s="7"/>
      <c r="G5" s="7"/>
      <c r="H5" s="7"/>
      <c r="I5" s="7"/>
      <c r="J5" s="7"/>
      <c r="K5" s="7"/>
      <c r="L5" s="7"/>
      <c r="M5" s="7"/>
    </row>
    <row r="6" spans="1:20" x14ac:dyDescent="0.2">
      <c r="A6" s="54" t="s">
        <v>2</v>
      </c>
      <c r="B6" s="55">
        <f t="shared" si="0"/>
        <v>0</v>
      </c>
      <c r="C6" s="55"/>
    </row>
    <row r="7" spans="1:20" s="8" customFormat="1" x14ac:dyDescent="0.2">
      <c r="A7" s="54" t="s">
        <v>18</v>
      </c>
      <c r="B7" s="59">
        <f t="shared" si="0"/>
        <v>0</v>
      </c>
      <c r="C7" s="59">
        <f>C3+C4-C5+C6</f>
        <v>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56" t="s">
        <v>24</v>
      </c>
      <c r="B8" s="59">
        <f t="shared" si="0"/>
        <v>0</v>
      </c>
      <c r="C8" s="59">
        <f>C7-C9-C16-C17-C18-C19-C20-C21</f>
        <v>0</v>
      </c>
      <c r="D8" s="8"/>
      <c r="E8" s="8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57" t="s">
        <v>32</v>
      </c>
      <c r="B9" s="55">
        <f t="shared" si="0"/>
        <v>0</v>
      </c>
      <c r="C9" s="55"/>
    </row>
    <row r="10" spans="1:20" x14ac:dyDescent="0.2">
      <c r="A10" s="57" t="s">
        <v>23</v>
      </c>
      <c r="B10" s="55">
        <f t="shared" si="0"/>
        <v>0</v>
      </c>
      <c r="C10" s="55"/>
    </row>
    <row r="11" spans="1:20" x14ac:dyDescent="0.2">
      <c r="A11" s="57" t="s">
        <v>21</v>
      </c>
      <c r="B11" s="55">
        <f t="shared" si="0"/>
        <v>0</v>
      </c>
      <c r="C11" s="55"/>
      <c r="D11" s="7"/>
      <c r="E11" s="7"/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58" t="s">
        <v>25</v>
      </c>
      <c r="B12" s="55">
        <f t="shared" si="0"/>
        <v>0</v>
      </c>
      <c r="C12" s="55"/>
      <c r="D12" s="1"/>
      <c r="E12" s="2"/>
      <c r="F12" s="1"/>
      <c r="G12" s="2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58" t="s">
        <v>3</v>
      </c>
      <c r="B13" s="55">
        <f t="shared" si="0"/>
        <v>0</v>
      </c>
      <c r="C13" s="55"/>
    </row>
    <row r="14" spans="1:20" x14ac:dyDescent="0.2">
      <c r="A14" s="58" t="s">
        <v>26</v>
      </c>
      <c r="B14" s="55">
        <f t="shared" si="0"/>
        <v>0</v>
      </c>
      <c r="C14" s="55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20" s="7" customFormat="1" ht="25.5" x14ac:dyDescent="0.2">
      <c r="A15" s="58" t="s">
        <v>19</v>
      </c>
      <c r="B15" s="55">
        <f t="shared" si="0"/>
        <v>0</v>
      </c>
      <c r="C15" s="55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57" t="s">
        <v>4</v>
      </c>
      <c r="B16" s="55">
        <f t="shared" si="0"/>
        <v>0</v>
      </c>
      <c r="C16" s="55"/>
    </row>
    <row r="17" spans="1:20" x14ac:dyDescent="0.2">
      <c r="A17" s="57" t="s">
        <v>5</v>
      </c>
      <c r="B17" s="55">
        <f t="shared" si="0"/>
        <v>0</v>
      </c>
      <c r="C17" s="55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57" t="s">
        <v>27</v>
      </c>
      <c r="B18" s="55">
        <f t="shared" si="0"/>
        <v>0</v>
      </c>
      <c r="C18" s="55"/>
      <c r="D18" s="1"/>
      <c r="E18" s="1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57" t="s">
        <v>6</v>
      </c>
      <c r="B19" s="55">
        <f t="shared" si="0"/>
        <v>0</v>
      </c>
      <c r="C19" s="55"/>
    </row>
    <row r="20" spans="1:20" x14ac:dyDescent="0.2">
      <c r="A20" s="57" t="s">
        <v>22</v>
      </c>
      <c r="B20" s="55">
        <f t="shared" si="0"/>
        <v>0</v>
      </c>
      <c r="C20" s="55"/>
      <c r="D20" s="8"/>
      <c r="E20" s="8"/>
      <c r="F20" s="8"/>
      <c r="G20" s="8"/>
      <c r="H20" s="9"/>
      <c r="I20" s="8"/>
      <c r="J20" s="8"/>
      <c r="K20" s="8"/>
      <c r="L20" s="8"/>
      <c r="M20" s="8"/>
    </row>
    <row r="21" spans="1:20" s="8" customFormat="1" x14ac:dyDescent="0.2">
      <c r="A21" s="60" t="s">
        <v>7</v>
      </c>
      <c r="B21" s="59">
        <f t="shared" si="0"/>
        <v>0</v>
      </c>
      <c r="C21" s="59">
        <f>C22+C23+C29+C30+C35+C36+C37</f>
        <v>0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0" t="s">
        <v>12</v>
      </c>
      <c r="B22" s="55">
        <f t="shared" si="0"/>
        <v>0</v>
      </c>
      <c r="C22" s="55"/>
    </row>
    <row r="23" spans="1:20" x14ac:dyDescent="0.2">
      <c r="A23" s="60" t="s">
        <v>53</v>
      </c>
      <c r="B23" s="55">
        <f t="shared" si="0"/>
        <v>0</v>
      </c>
      <c r="C23" s="55"/>
    </row>
    <row r="24" spans="1:20" x14ac:dyDescent="0.2">
      <c r="A24" s="60" t="s">
        <v>56</v>
      </c>
      <c r="B24" s="55">
        <f t="shared" si="0"/>
        <v>0</v>
      </c>
      <c r="C24" s="55"/>
      <c r="N24" s="7"/>
      <c r="O24" s="7"/>
      <c r="P24" s="7"/>
      <c r="Q24" s="7"/>
      <c r="R24" s="7"/>
      <c r="S24" s="7"/>
      <c r="T24" s="7"/>
    </row>
    <row r="25" spans="1:20" x14ac:dyDescent="0.2">
      <c r="A25" s="60" t="s">
        <v>57</v>
      </c>
      <c r="B25" s="55">
        <f t="shared" si="0"/>
        <v>0</v>
      </c>
      <c r="C25" s="55"/>
      <c r="N25" s="7"/>
      <c r="O25" s="7"/>
      <c r="P25" s="7"/>
      <c r="Q25" s="7"/>
      <c r="R25" s="7"/>
      <c r="S25" s="7"/>
      <c r="T25" s="7"/>
    </row>
    <row r="26" spans="1:20" x14ac:dyDescent="0.2">
      <c r="A26" s="60" t="s">
        <v>58</v>
      </c>
      <c r="B26" s="55">
        <f t="shared" si="0"/>
        <v>0</v>
      </c>
      <c r="C26" s="55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0" t="s">
        <v>59</v>
      </c>
      <c r="B27" s="55">
        <f t="shared" si="0"/>
        <v>0</v>
      </c>
      <c r="C27" s="55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0" t="s">
        <v>60</v>
      </c>
      <c r="B28" s="55">
        <f t="shared" si="0"/>
        <v>0</v>
      </c>
      <c r="C28" s="55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0" t="s">
        <v>20</v>
      </c>
      <c r="B29" s="55">
        <f t="shared" si="0"/>
        <v>0</v>
      </c>
      <c r="C29" s="55"/>
    </row>
    <row r="30" spans="1:20" x14ac:dyDescent="0.2">
      <c r="A30" s="60" t="s">
        <v>29</v>
      </c>
      <c r="B30" s="55">
        <f t="shared" si="0"/>
        <v>0</v>
      </c>
      <c r="C30" s="55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1" t="s">
        <v>8</v>
      </c>
      <c r="B31" s="55">
        <f t="shared" si="0"/>
        <v>0</v>
      </c>
      <c r="C31" s="55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1" t="s">
        <v>9</v>
      </c>
      <c r="B32" s="55">
        <f t="shared" si="0"/>
        <v>0</v>
      </c>
      <c r="C32" s="55"/>
    </row>
    <row r="33" spans="1:20" x14ac:dyDescent="0.2">
      <c r="A33" s="61" t="s">
        <v>10</v>
      </c>
      <c r="B33" s="55">
        <f t="shared" si="0"/>
        <v>0</v>
      </c>
      <c r="C33" s="55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1" t="s">
        <v>11</v>
      </c>
      <c r="B34" s="55">
        <f t="shared" si="0"/>
        <v>0</v>
      </c>
      <c r="C34" s="55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0" t="s">
        <v>13</v>
      </c>
      <c r="B35" s="55">
        <f t="shared" si="0"/>
        <v>0</v>
      </c>
      <c r="C35" s="55"/>
    </row>
    <row r="36" spans="1:20" x14ac:dyDescent="0.2">
      <c r="A36" s="60" t="s">
        <v>14</v>
      </c>
      <c r="B36" s="55">
        <f t="shared" si="0"/>
        <v>0</v>
      </c>
      <c r="C36" s="55"/>
    </row>
    <row r="37" spans="1:20" x14ac:dyDescent="0.2">
      <c r="A37" s="60" t="s">
        <v>15</v>
      </c>
      <c r="B37" s="55">
        <f t="shared" si="0"/>
        <v>0</v>
      </c>
      <c r="C37" s="55"/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sheetProtection selectLockedCells="1" selectUnlockedCells="1"/>
  <conditionalFormatting sqref="H3:H7 H21:H36 H10:K19">
    <cfRule type="cellIs" dxfId="75" priority="55" operator="equal">
      <formula>0</formula>
    </cfRule>
  </conditionalFormatting>
  <conditionalFormatting sqref="I3:I7 I21:I36">
    <cfRule type="cellIs" dxfId="74" priority="54" operator="equal">
      <formula>0</formula>
    </cfRule>
  </conditionalFormatting>
  <conditionalFormatting sqref="J3:J7 J21:J36">
    <cfRule type="cellIs" dxfId="73" priority="53" operator="equal">
      <formula>0</formula>
    </cfRule>
  </conditionalFormatting>
  <conditionalFormatting sqref="K3:K7 K21:K36">
    <cfRule type="cellIs" dxfId="72" priority="52" operator="equal">
      <formula>0</formula>
    </cfRule>
  </conditionalFormatting>
  <conditionalFormatting sqref="F3:G7 F21:G36 F10:G19">
    <cfRule type="cellIs" dxfId="71" priority="32" operator="equal">
      <formula>0</formula>
    </cfRule>
  </conditionalFormatting>
  <conditionalFormatting sqref="F1">
    <cfRule type="cellIs" dxfId="70" priority="30" operator="equal">
      <formula>0</formula>
    </cfRule>
  </conditionalFormatting>
  <conditionalFormatting sqref="D3:E7 D21:E36 D10:E19">
    <cfRule type="cellIs" dxfId="69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1619250</xdr:colOff>
                    <xdr:row>38</xdr:row>
                    <xdr:rowOff>0</xdr:rowOff>
                  </from>
                  <to>
                    <xdr:col>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pageSetUpPr fitToPage="1"/>
  </sheetPr>
  <dimension ref="A1:T42"/>
  <sheetViews>
    <sheetView zoomScale="115" zoomScaleNormal="115" workbookViewId="0">
      <selection activeCell="C3" sqref="C3:C37"/>
    </sheetView>
  </sheetViews>
  <sheetFormatPr defaultColWidth="8.85546875" defaultRowHeight="12.75" x14ac:dyDescent="0.2"/>
  <cols>
    <col min="1" max="1" width="43.42578125" style="1" customWidth="1"/>
    <col min="2" max="2" width="14.42578125" style="1" customWidth="1"/>
    <col min="3" max="5" width="16.42578125" style="1" customWidth="1"/>
    <col min="6" max="6" width="11.42578125" style="1" bestFit="1" customWidth="1"/>
    <col min="7" max="9" width="9" style="1" bestFit="1" customWidth="1"/>
    <col min="10" max="10" width="11.42578125" style="1" bestFit="1" customWidth="1"/>
    <col min="11" max="16384" width="8.85546875" style="1"/>
  </cols>
  <sheetData>
    <row r="1" spans="1:20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4" t="s">
        <v>104</v>
      </c>
      <c r="G1" s="63"/>
      <c r="H1" s="14"/>
      <c r="I1" s="17"/>
      <c r="J1" s="18"/>
      <c r="K1" s="18"/>
      <c r="L1" s="5"/>
      <c r="M1" s="5"/>
      <c r="Q1" s="2"/>
      <c r="R1" s="2"/>
    </row>
    <row r="2" spans="1:20" s="6" customFormat="1" ht="38.25" x14ac:dyDescent="0.2">
      <c r="A2" s="52" t="s">
        <v>68</v>
      </c>
      <c r="B2" s="53" t="s">
        <v>85</v>
      </c>
      <c r="C2" s="53" t="s">
        <v>107</v>
      </c>
    </row>
    <row r="3" spans="1:20" x14ac:dyDescent="0.2">
      <c r="A3" s="54" t="s">
        <v>28</v>
      </c>
      <c r="B3" s="55">
        <f>C3*1.37/1000</f>
        <v>0</v>
      </c>
      <c r="C3" s="55"/>
      <c r="N3" s="3"/>
      <c r="O3" s="3"/>
      <c r="P3" s="3"/>
      <c r="Q3" s="3"/>
      <c r="R3" s="3"/>
      <c r="S3" s="3"/>
      <c r="T3" s="3"/>
    </row>
    <row r="4" spans="1:20" s="7" customFormat="1" x14ac:dyDescent="0.2">
      <c r="A4" s="54" t="s">
        <v>16</v>
      </c>
      <c r="B4" s="55">
        <f t="shared" ref="B4:B37" si="0">C4*1.37/1000</f>
        <v>0</v>
      </c>
      <c r="C4" s="5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54" t="s">
        <v>17</v>
      </c>
      <c r="B5" s="55">
        <f t="shared" si="0"/>
        <v>0</v>
      </c>
      <c r="C5" s="55"/>
      <c r="D5" s="7"/>
      <c r="E5" s="7"/>
      <c r="F5" s="7"/>
      <c r="G5" s="7"/>
      <c r="H5" s="7"/>
      <c r="I5" s="7"/>
      <c r="J5" s="7"/>
      <c r="K5" s="7"/>
      <c r="L5" s="7"/>
      <c r="M5" s="7"/>
    </row>
    <row r="6" spans="1:20" x14ac:dyDescent="0.2">
      <c r="A6" s="54" t="s">
        <v>2</v>
      </c>
      <c r="B6" s="55">
        <f t="shared" si="0"/>
        <v>0</v>
      </c>
      <c r="C6" s="55"/>
    </row>
    <row r="7" spans="1:20" s="8" customFormat="1" x14ac:dyDescent="0.2">
      <c r="A7" s="54" t="s">
        <v>18</v>
      </c>
      <c r="B7" s="59">
        <f t="shared" si="0"/>
        <v>0</v>
      </c>
      <c r="C7" s="59">
        <f>C3+C4-C5+C6</f>
        <v>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56" t="s">
        <v>24</v>
      </c>
      <c r="B8" s="59">
        <f t="shared" si="0"/>
        <v>0</v>
      </c>
      <c r="C8" s="59">
        <f>C7-C9-C16-C17-C18-C19-C20-C21</f>
        <v>0</v>
      </c>
      <c r="D8" s="8"/>
      <c r="E8" s="8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57" t="s">
        <v>33</v>
      </c>
      <c r="B9" s="55">
        <f t="shared" si="0"/>
        <v>0</v>
      </c>
      <c r="C9" s="55"/>
    </row>
    <row r="10" spans="1:20" x14ac:dyDescent="0.2">
      <c r="A10" s="57" t="s">
        <v>23</v>
      </c>
      <c r="B10" s="55">
        <f t="shared" si="0"/>
        <v>0</v>
      </c>
      <c r="C10" s="55"/>
    </row>
    <row r="11" spans="1:20" x14ac:dyDescent="0.2">
      <c r="A11" s="57" t="s">
        <v>21</v>
      </c>
      <c r="B11" s="55">
        <f t="shared" si="0"/>
        <v>0</v>
      </c>
      <c r="C11" s="55"/>
      <c r="D11" s="7"/>
      <c r="E11" s="7"/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58" t="s">
        <v>25</v>
      </c>
      <c r="B12" s="55">
        <f t="shared" si="0"/>
        <v>0</v>
      </c>
      <c r="C12" s="55"/>
      <c r="D12" s="1"/>
      <c r="E12" s="2"/>
      <c r="F12" s="1"/>
      <c r="G12" s="1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58" t="s">
        <v>3</v>
      </c>
      <c r="B13" s="55">
        <f t="shared" si="0"/>
        <v>0</v>
      </c>
      <c r="C13" s="55"/>
    </row>
    <row r="14" spans="1:20" x14ac:dyDescent="0.2">
      <c r="A14" s="58" t="s">
        <v>26</v>
      </c>
      <c r="B14" s="55">
        <f t="shared" si="0"/>
        <v>0</v>
      </c>
      <c r="C14" s="55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20" s="7" customFormat="1" ht="25.5" x14ac:dyDescent="0.2">
      <c r="A15" s="58" t="s">
        <v>19</v>
      </c>
      <c r="B15" s="55">
        <f t="shared" si="0"/>
        <v>0</v>
      </c>
      <c r="C15" s="55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57" t="s">
        <v>4</v>
      </c>
      <c r="B16" s="55">
        <f t="shared" si="0"/>
        <v>0</v>
      </c>
      <c r="C16" s="55"/>
    </row>
    <row r="17" spans="1:20" x14ac:dyDescent="0.2">
      <c r="A17" s="57" t="s">
        <v>5</v>
      </c>
      <c r="B17" s="55">
        <f t="shared" si="0"/>
        <v>0</v>
      </c>
      <c r="C17" s="55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57" t="s">
        <v>27</v>
      </c>
      <c r="B18" s="55">
        <f t="shared" si="0"/>
        <v>0</v>
      </c>
      <c r="C18" s="55"/>
      <c r="D18" s="1"/>
      <c r="E18" s="1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57" t="s">
        <v>6</v>
      </c>
      <c r="B19" s="55">
        <f t="shared" si="0"/>
        <v>0</v>
      </c>
      <c r="C19" s="55"/>
    </row>
    <row r="20" spans="1:20" x14ac:dyDescent="0.2">
      <c r="A20" s="57" t="s">
        <v>22</v>
      </c>
      <c r="B20" s="55">
        <f t="shared" si="0"/>
        <v>0</v>
      </c>
      <c r="C20" s="55"/>
      <c r="D20" s="8"/>
      <c r="E20" s="8"/>
      <c r="F20" s="9"/>
      <c r="G20" s="8"/>
      <c r="H20" s="8"/>
      <c r="I20" s="8"/>
      <c r="J20" s="8"/>
      <c r="K20" s="8"/>
      <c r="L20" s="8"/>
      <c r="M20" s="8"/>
    </row>
    <row r="21" spans="1:20" s="8" customFormat="1" x14ac:dyDescent="0.2">
      <c r="A21" s="60" t="s">
        <v>7</v>
      </c>
      <c r="B21" s="59">
        <f t="shared" si="0"/>
        <v>0</v>
      </c>
      <c r="C21" s="59">
        <f>C22+C23+C29+C30+C35+C36+C37</f>
        <v>0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0" t="s">
        <v>12</v>
      </c>
      <c r="B22" s="55">
        <f t="shared" si="0"/>
        <v>0</v>
      </c>
      <c r="C22" s="55"/>
    </row>
    <row r="23" spans="1:20" x14ac:dyDescent="0.2">
      <c r="A23" s="60" t="s">
        <v>53</v>
      </c>
      <c r="B23" s="55">
        <f t="shared" si="0"/>
        <v>0</v>
      </c>
      <c r="C23" s="55"/>
    </row>
    <row r="24" spans="1:20" x14ac:dyDescent="0.2">
      <c r="A24" s="60" t="s">
        <v>56</v>
      </c>
      <c r="B24" s="55">
        <f t="shared" si="0"/>
        <v>0</v>
      </c>
      <c r="C24" s="55"/>
      <c r="N24" s="7"/>
      <c r="O24" s="7"/>
      <c r="P24" s="7"/>
      <c r="Q24" s="7"/>
      <c r="R24" s="7"/>
      <c r="S24" s="7"/>
      <c r="T24" s="7"/>
    </row>
    <row r="25" spans="1:20" x14ac:dyDescent="0.2">
      <c r="A25" s="60" t="s">
        <v>57</v>
      </c>
      <c r="B25" s="55">
        <f t="shared" si="0"/>
        <v>0</v>
      </c>
      <c r="C25" s="55"/>
      <c r="N25" s="7"/>
      <c r="O25" s="7"/>
      <c r="P25" s="7"/>
      <c r="Q25" s="7"/>
      <c r="R25" s="7"/>
      <c r="S25" s="7"/>
      <c r="T25" s="7"/>
    </row>
    <row r="26" spans="1:20" x14ac:dyDescent="0.2">
      <c r="A26" s="60" t="s">
        <v>58</v>
      </c>
      <c r="B26" s="55">
        <f t="shared" si="0"/>
        <v>0</v>
      </c>
      <c r="C26" s="55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0" t="s">
        <v>59</v>
      </c>
      <c r="B27" s="55">
        <f t="shared" si="0"/>
        <v>0</v>
      </c>
      <c r="C27" s="55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0" t="s">
        <v>60</v>
      </c>
      <c r="B28" s="55">
        <f t="shared" si="0"/>
        <v>0</v>
      </c>
      <c r="C28" s="55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0" t="s">
        <v>20</v>
      </c>
      <c r="B29" s="55">
        <f t="shared" si="0"/>
        <v>0</v>
      </c>
      <c r="C29" s="55"/>
    </row>
    <row r="30" spans="1:20" x14ac:dyDescent="0.2">
      <c r="A30" s="60" t="s">
        <v>29</v>
      </c>
      <c r="B30" s="55">
        <f t="shared" si="0"/>
        <v>0</v>
      </c>
      <c r="C30" s="55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1" t="s">
        <v>8</v>
      </c>
      <c r="B31" s="55">
        <f t="shared" si="0"/>
        <v>0</v>
      </c>
      <c r="C31" s="55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1" t="s">
        <v>9</v>
      </c>
      <c r="B32" s="55">
        <f t="shared" si="0"/>
        <v>0</v>
      </c>
      <c r="C32" s="55"/>
    </row>
    <row r="33" spans="1:20" x14ac:dyDescent="0.2">
      <c r="A33" s="61" t="s">
        <v>10</v>
      </c>
      <c r="B33" s="55">
        <f t="shared" si="0"/>
        <v>0</v>
      </c>
      <c r="C33" s="55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1" t="s">
        <v>11</v>
      </c>
      <c r="B34" s="55">
        <f t="shared" si="0"/>
        <v>0</v>
      </c>
      <c r="C34" s="55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0" t="s">
        <v>13</v>
      </c>
      <c r="B35" s="55">
        <f t="shared" si="0"/>
        <v>0</v>
      </c>
      <c r="C35" s="55"/>
    </row>
    <row r="36" spans="1:20" x14ac:dyDescent="0.2">
      <c r="A36" s="60" t="s">
        <v>14</v>
      </c>
      <c r="B36" s="55">
        <f t="shared" si="0"/>
        <v>0</v>
      </c>
      <c r="C36" s="55"/>
    </row>
    <row r="37" spans="1:20" x14ac:dyDescent="0.2">
      <c r="A37" s="60" t="s">
        <v>15</v>
      </c>
      <c r="B37" s="55">
        <f t="shared" si="0"/>
        <v>0</v>
      </c>
      <c r="C37" s="55"/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sheetProtection selectLockedCells="1" selectUnlockedCells="1"/>
  <conditionalFormatting sqref="H3:H7 H21:H36 F3:F7 F21:F36 F10:K19">
    <cfRule type="cellIs" dxfId="68" priority="42" operator="equal">
      <formula>0</formula>
    </cfRule>
  </conditionalFormatting>
  <conditionalFormatting sqref="I3:I7 I21:I36">
    <cfRule type="cellIs" dxfId="67" priority="41" operator="equal">
      <formula>0</formula>
    </cfRule>
  </conditionalFormatting>
  <conditionalFormatting sqref="J3:J7 J21:J36">
    <cfRule type="cellIs" dxfId="66" priority="40" operator="equal">
      <formula>0</formula>
    </cfRule>
  </conditionalFormatting>
  <conditionalFormatting sqref="K3:K7 K21:K36">
    <cfRule type="cellIs" dxfId="65" priority="39" operator="equal">
      <formula>0</formula>
    </cfRule>
  </conditionalFormatting>
  <conditionalFormatting sqref="D3:G7 D21:G36 D10:G19">
    <cfRule type="cellIs" dxfId="64" priority="35" operator="equal">
      <formula>0</formula>
    </cfRule>
  </conditionalFormatting>
  <conditionalFormatting sqref="D3:D7 D21:D36 D10:D19">
    <cfRule type="cellIs" dxfId="63" priority="34" operator="equal">
      <formula>0</formula>
    </cfRule>
  </conditionalFormatting>
  <conditionalFormatting sqref="F1">
    <cfRule type="cellIs" dxfId="62" priority="33" operator="equal">
      <formula>0</formula>
    </cfRule>
  </conditionalFormatting>
  <conditionalFormatting sqref="D3:D6 D22:D36">
    <cfRule type="cellIs" dxfId="61" priority="27" operator="equal">
      <formula>0</formula>
    </cfRule>
  </conditionalFormatting>
  <conditionalFormatting sqref="D9:D20">
    <cfRule type="cellIs" dxfId="60" priority="26" operator="equal">
      <formula>0</formula>
    </cfRule>
  </conditionalFormatting>
  <conditionalFormatting sqref="D37">
    <cfRule type="cellIs" dxfId="59" priority="25" operator="equal">
      <formula>0</formula>
    </cfRule>
  </conditionalFormatting>
  <conditionalFormatting sqref="E3:E7 E21:E36 E10:E19">
    <cfRule type="cellIs" dxfId="58" priority="24" operator="equal">
      <formula>0</formula>
    </cfRule>
  </conditionalFormatting>
  <conditionalFormatting sqref="E3:E6 E22:E36">
    <cfRule type="cellIs" dxfId="57" priority="23" operator="equal">
      <formula>0</formula>
    </cfRule>
  </conditionalFormatting>
  <conditionalFormatting sqref="E9:E20">
    <cfRule type="cellIs" dxfId="56" priority="22" operator="equal">
      <formula>0</formula>
    </cfRule>
  </conditionalFormatting>
  <conditionalFormatting sqref="E37">
    <cfRule type="cellIs" dxfId="55" priority="21" operator="equal">
      <formula>0</formula>
    </cfRule>
  </conditionalFormatting>
  <conditionalFormatting sqref="E9">
    <cfRule type="cellIs" dxfId="54" priority="16" operator="equal">
      <formula>0</formula>
    </cfRule>
  </conditionalFormatting>
  <conditionalFormatting sqref="E9">
    <cfRule type="cellIs" dxfId="53" priority="15" operator="equal">
      <formula>0</formula>
    </cfRule>
  </conditionalFormatting>
  <conditionalFormatting sqref="G3:G7 G21:G36">
    <cfRule type="cellIs" dxfId="52" priority="2" operator="equal">
      <formula>0</formula>
    </cfRule>
  </conditionalFormatting>
  <conditionalFormatting sqref="H3:H7 H21:H36">
    <cfRule type="cellIs" dxfId="51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1695450</xdr:colOff>
                    <xdr:row>38</xdr:row>
                    <xdr:rowOff>9525</xdr:rowOff>
                  </from>
                  <to>
                    <xdr:col>2</xdr:col>
                    <xdr:colOff>876300</xdr:colOff>
                    <xdr:row>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>
    <pageSetUpPr fitToPage="1"/>
  </sheetPr>
  <dimension ref="A1:T42"/>
  <sheetViews>
    <sheetView zoomScale="115" zoomScaleNormal="115" workbookViewId="0">
      <selection activeCell="C3" sqref="C3:C37"/>
    </sheetView>
  </sheetViews>
  <sheetFormatPr defaultColWidth="8.85546875" defaultRowHeight="12.75" x14ac:dyDescent="0.2"/>
  <cols>
    <col min="1" max="1" width="44.140625" style="1" customWidth="1"/>
    <col min="2" max="2" width="14.42578125" style="1" customWidth="1"/>
    <col min="3" max="5" width="14.85546875" style="1" customWidth="1"/>
    <col min="6" max="6" width="11.42578125" style="1" bestFit="1" customWidth="1"/>
    <col min="7" max="9" width="9" style="1" bestFit="1" customWidth="1"/>
    <col min="10" max="10" width="11.42578125" style="1" bestFit="1" customWidth="1"/>
    <col min="11" max="16384" width="8.85546875" style="1"/>
  </cols>
  <sheetData>
    <row r="1" spans="1:20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4" t="s">
        <v>104</v>
      </c>
      <c r="G1" s="63"/>
      <c r="H1" s="14"/>
      <c r="I1" s="17"/>
      <c r="J1" s="18"/>
      <c r="K1" s="18"/>
      <c r="L1" s="5"/>
      <c r="M1" s="5"/>
      <c r="Q1" s="2"/>
      <c r="R1" s="2"/>
    </row>
    <row r="2" spans="1:20" s="6" customFormat="1" ht="51" x14ac:dyDescent="0.2">
      <c r="A2" s="52" t="s">
        <v>67</v>
      </c>
      <c r="B2" s="53" t="s">
        <v>86</v>
      </c>
      <c r="C2" s="53" t="s">
        <v>105</v>
      </c>
    </row>
    <row r="3" spans="1:20" x14ac:dyDescent="0.2">
      <c r="A3" s="54" t="s">
        <v>28</v>
      </c>
      <c r="B3" s="55">
        <f>C3*1.57/1000</f>
        <v>0</v>
      </c>
      <c r="C3" s="55"/>
      <c r="N3" s="3"/>
      <c r="O3" s="3"/>
      <c r="P3" s="3"/>
      <c r="Q3" s="3"/>
      <c r="R3" s="3"/>
      <c r="S3" s="3"/>
      <c r="T3" s="3"/>
    </row>
    <row r="4" spans="1:20" s="7" customFormat="1" x14ac:dyDescent="0.2">
      <c r="A4" s="54" t="s">
        <v>16</v>
      </c>
      <c r="B4" s="55">
        <f t="shared" ref="B4:B37" si="0">C4*1.57/1000</f>
        <v>0</v>
      </c>
      <c r="C4" s="5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54" t="s">
        <v>17</v>
      </c>
      <c r="B5" s="55">
        <f t="shared" si="0"/>
        <v>0</v>
      </c>
      <c r="C5" s="55"/>
      <c r="D5" s="7"/>
      <c r="E5" s="7"/>
      <c r="F5" s="7"/>
      <c r="G5" s="7"/>
      <c r="H5" s="7"/>
      <c r="I5" s="7"/>
      <c r="J5" s="7"/>
      <c r="K5" s="7"/>
      <c r="L5" s="7"/>
      <c r="M5" s="7"/>
    </row>
    <row r="6" spans="1:20" x14ac:dyDescent="0.2">
      <c r="A6" s="54" t="s">
        <v>2</v>
      </c>
      <c r="B6" s="55">
        <f t="shared" si="0"/>
        <v>0</v>
      </c>
      <c r="C6" s="55"/>
    </row>
    <row r="7" spans="1:20" s="8" customFormat="1" x14ac:dyDescent="0.2">
      <c r="A7" s="54" t="s">
        <v>18</v>
      </c>
      <c r="B7" s="59">
        <f t="shared" si="0"/>
        <v>0</v>
      </c>
      <c r="C7" s="59">
        <f>C3+C4-C5+C6</f>
        <v>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56" t="s">
        <v>24</v>
      </c>
      <c r="B8" s="59">
        <f t="shared" si="0"/>
        <v>0</v>
      </c>
      <c r="C8" s="59">
        <f>C7-C9-C16-C17-C18-C19-C20-C21</f>
        <v>0</v>
      </c>
      <c r="D8" s="8"/>
      <c r="E8" s="8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57" t="s">
        <v>32</v>
      </c>
      <c r="B9" s="55">
        <f t="shared" si="0"/>
        <v>0</v>
      </c>
      <c r="C9" s="55"/>
    </row>
    <row r="10" spans="1:20" x14ac:dyDescent="0.2">
      <c r="A10" s="57" t="s">
        <v>23</v>
      </c>
      <c r="B10" s="55">
        <f t="shared" si="0"/>
        <v>0</v>
      </c>
      <c r="C10" s="55"/>
    </row>
    <row r="11" spans="1:20" x14ac:dyDescent="0.2">
      <c r="A11" s="57" t="s">
        <v>21</v>
      </c>
      <c r="B11" s="55">
        <f t="shared" si="0"/>
        <v>0</v>
      </c>
      <c r="C11" s="55"/>
      <c r="D11" s="7"/>
      <c r="E11" s="7"/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58" t="s">
        <v>25</v>
      </c>
      <c r="B12" s="55">
        <f t="shared" si="0"/>
        <v>0</v>
      </c>
      <c r="C12" s="55"/>
      <c r="D12" s="1"/>
      <c r="E12" s="2"/>
      <c r="F12" s="1"/>
      <c r="G12" s="1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58" t="s">
        <v>3</v>
      </c>
      <c r="B13" s="55">
        <f t="shared" si="0"/>
        <v>0</v>
      </c>
      <c r="C13" s="55"/>
    </row>
    <row r="14" spans="1:20" x14ac:dyDescent="0.2">
      <c r="A14" s="58" t="s">
        <v>26</v>
      </c>
      <c r="B14" s="55">
        <f t="shared" si="0"/>
        <v>0</v>
      </c>
      <c r="C14" s="55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20" s="7" customFormat="1" x14ac:dyDescent="0.2">
      <c r="A15" s="58" t="s">
        <v>19</v>
      </c>
      <c r="B15" s="55">
        <f t="shared" si="0"/>
        <v>0</v>
      </c>
      <c r="C15" s="55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57" t="s">
        <v>4</v>
      </c>
      <c r="B16" s="55">
        <f t="shared" si="0"/>
        <v>0</v>
      </c>
      <c r="C16" s="55"/>
    </row>
    <row r="17" spans="1:20" x14ac:dyDescent="0.2">
      <c r="A17" s="57" t="s">
        <v>5</v>
      </c>
      <c r="B17" s="55">
        <f t="shared" si="0"/>
        <v>0</v>
      </c>
      <c r="C17" s="55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57" t="s">
        <v>27</v>
      </c>
      <c r="B18" s="55">
        <f t="shared" si="0"/>
        <v>0</v>
      </c>
      <c r="C18" s="55"/>
      <c r="D18" s="1"/>
      <c r="E18" s="1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57" t="s">
        <v>6</v>
      </c>
      <c r="B19" s="55">
        <f t="shared" si="0"/>
        <v>0</v>
      </c>
      <c r="C19" s="55"/>
    </row>
    <row r="20" spans="1:20" x14ac:dyDescent="0.2">
      <c r="A20" s="57" t="s">
        <v>22</v>
      </c>
      <c r="B20" s="55">
        <f t="shared" si="0"/>
        <v>0</v>
      </c>
      <c r="C20" s="55"/>
      <c r="D20" s="8"/>
      <c r="E20" s="8"/>
      <c r="F20" s="9"/>
      <c r="G20" s="8"/>
      <c r="H20" s="8"/>
      <c r="I20" s="8"/>
      <c r="J20" s="8"/>
      <c r="K20" s="8"/>
      <c r="L20" s="8"/>
      <c r="M20" s="8"/>
    </row>
    <row r="21" spans="1:20" s="8" customFormat="1" x14ac:dyDescent="0.2">
      <c r="A21" s="60" t="s">
        <v>7</v>
      </c>
      <c r="B21" s="59">
        <f t="shared" si="0"/>
        <v>0</v>
      </c>
      <c r="C21" s="59">
        <f>C22+C23+C29+C30+C35+C36+C37</f>
        <v>0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0" t="s">
        <v>12</v>
      </c>
      <c r="B22" s="55">
        <f t="shared" si="0"/>
        <v>0</v>
      </c>
      <c r="C22" s="55"/>
    </row>
    <row r="23" spans="1:20" x14ac:dyDescent="0.2">
      <c r="A23" s="60" t="s">
        <v>53</v>
      </c>
      <c r="B23" s="55">
        <f t="shared" si="0"/>
        <v>0</v>
      </c>
      <c r="C23" s="55"/>
    </row>
    <row r="24" spans="1:20" x14ac:dyDescent="0.2">
      <c r="A24" s="60" t="s">
        <v>56</v>
      </c>
      <c r="B24" s="55">
        <f t="shared" si="0"/>
        <v>0</v>
      </c>
      <c r="C24" s="55"/>
      <c r="N24" s="7"/>
      <c r="O24" s="7"/>
      <c r="P24" s="7"/>
      <c r="Q24" s="7"/>
      <c r="R24" s="7"/>
      <c r="S24" s="7"/>
      <c r="T24" s="7"/>
    </row>
    <row r="25" spans="1:20" x14ac:dyDescent="0.2">
      <c r="A25" s="60" t="s">
        <v>57</v>
      </c>
      <c r="B25" s="55">
        <f t="shared" si="0"/>
        <v>0</v>
      </c>
      <c r="C25" s="55"/>
      <c r="N25" s="7"/>
      <c r="O25" s="7"/>
      <c r="P25" s="7"/>
      <c r="Q25" s="7"/>
      <c r="R25" s="7"/>
      <c r="S25" s="7"/>
      <c r="T25" s="7"/>
    </row>
    <row r="26" spans="1:20" x14ac:dyDescent="0.2">
      <c r="A26" s="60" t="s">
        <v>58</v>
      </c>
      <c r="B26" s="55">
        <f t="shared" si="0"/>
        <v>0</v>
      </c>
      <c r="C26" s="55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0" t="s">
        <v>59</v>
      </c>
      <c r="B27" s="55">
        <f t="shared" si="0"/>
        <v>0</v>
      </c>
      <c r="C27" s="55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0" t="s">
        <v>60</v>
      </c>
      <c r="B28" s="55">
        <f t="shared" si="0"/>
        <v>0</v>
      </c>
      <c r="C28" s="55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0" t="s">
        <v>20</v>
      </c>
      <c r="B29" s="55">
        <f t="shared" si="0"/>
        <v>0</v>
      </c>
      <c r="C29" s="55"/>
    </row>
    <row r="30" spans="1:20" x14ac:dyDescent="0.2">
      <c r="A30" s="60" t="s">
        <v>29</v>
      </c>
      <c r="B30" s="55">
        <f t="shared" si="0"/>
        <v>0</v>
      </c>
      <c r="C30" s="55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1" t="s">
        <v>8</v>
      </c>
      <c r="B31" s="55">
        <f t="shared" si="0"/>
        <v>0</v>
      </c>
      <c r="C31" s="55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1" t="s">
        <v>9</v>
      </c>
      <c r="B32" s="55">
        <f t="shared" si="0"/>
        <v>0</v>
      </c>
      <c r="C32" s="55"/>
    </row>
    <row r="33" spans="1:20" x14ac:dyDescent="0.2">
      <c r="A33" s="61" t="s">
        <v>10</v>
      </c>
      <c r="B33" s="55">
        <f t="shared" si="0"/>
        <v>0</v>
      </c>
      <c r="C33" s="55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1" t="s">
        <v>11</v>
      </c>
      <c r="B34" s="55">
        <f t="shared" si="0"/>
        <v>0</v>
      </c>
      <c r="C34" s="55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0" t="s">
        <v>13</v>
      </c>
      <c r="B35" s="55">
        <f t="shared" si="0"/>
        <v>0</v>
      </c>
      <c r="C35" s="55"/>
    </row>
    <row r="36" spans="1:20" x14ac:dyDescent="0.2">
      <c r="A36" s="60" t="s">
        <v>14</v>
      </c>
      <c r="B36" s="55">
        <f t="shared" si="0"/>
        <v>0</v>
      </c>
      <c r="C36" s="55"/>
    </row>
    <row r="37" spans="1:20" x14ac:dyDescent="0.2">
      <c r="A37" s="60" t="s">
        <v>15</v>
      </c>
      <c r="B37" s="55">
        <f t="shared" si="0"/>
        <v>0</v>
      </c>
      <c r="C37" s="55"/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sheetProtection selectLockedCells="1" selectUnlockedCells="1"/>
  <conditionalFormatting sqref="F1 D25:D37 D9:D20 E9:E37 D21:K36 D10:K19 D3:K7">
    <cfRule type="cellIs" dxfId="50" priority="22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1600200</xdr:colOff>
                    <xdr:row>38</xdr:row>
                    <xdr:rowOff>123825</xdr:rowOff>
                  </from>
                  <to>
                    <xdr:col>3</xdr:col>
                    <xdr:colOff>9525</xdr:colOff>
                    <xdr:row>43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>
    <pageSetUpPr fitToPage="1"/>
  </sheetPr>
  <dimension ref="A1:L38"/>
  <sheetViews>
    <sheetView zoomScale="115" zoomScaleNormal="115" workbookViewId="0">
      <selection activeCell="C3" sqref="C3:C37"/>
    </sheetView>
  </sheetViews>
  <sheetFormatPr defaultColWidth="8.85546875" defaultRowHeight="12.75" x14ac:dyDescent="0.2"/>
  <cols>
    <col min="1" max="1" width="44.7109375" style="1" customWidth="1"/>
    <col min="2" max="2" width="14.5703125" style="1" customWidth="1"/>
    <col min="3" max="5" width="15.5703125" style="1" customWidth="1"/>
    <col min="6" max="6" width="11.42578125" style="1" bestFit="1" customWidth="1"/>
    <col min="7" max="9" width="9" style="1" bestFit="1" customWidth="1"/>
    <col min="10" max="10" width="11.42578125" style="1" bestFit="1" customWidth="1"/>
    <col min="11" max="16384" width="8.85546875" style="1"/>
  </cols>
  <sheetData>
    <row r="1" spans="1:12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4" t="s">
        <v>104</v>
      </c>
      <c r="G1" s="63"/>
      <c r="H1" s="14"/>
      <c r="I1" s="17"/>
      <c r="J1" s="18"/>
      <c r="K1" s="18"/>
      <c r="L1" s="5"/>
    </row>
    <row r="2" spans="1:12" s="6" customFormat="1" ht="38.25" x14ac:dyDescent="0.2">
      <c r="A2" s="52" t="s">
        <v>66</v>
      </c>
      <c r="B2" s="53" t="s">
        <v>84</v>
      </c>
      <c r="C2" s="53" t="s">
        <v>108</v>
      </c>
    </row>
    <row r="3" spans="1:12" x14ac:dyDescent="0.2">
      <c r="A3" s="54" t="s">
        <v>28</v>
      </c>
      <c r="B3" s="55">
        <f>C3*1.45/1000</f>
        <v>0</v>
      </c>
      <c r="C3" s="55"/>
    </row>
    <row r="4" spans="1:12" s="7" customFormat="1" x14ac:dyDescent="0.2">
      <c r="A4" s="54" t="s">
        <v>16</v>
      </c>
      <c r="B4" s="55">
        <f t="shared" ref="B4:B37" si="0">C4*1.45/1000</f>
        <v>0</v>
      </c>
      <c r="C4" s="55"/>
      <c r="D4" s="1"/>
      <c r="E4" s="1"/>
      <c r="F4" s="1"/>
      <c r="G4" s="1"/>
      <c r="H4" s="1"/>
      <c r="I4" s="1"/>
      <c r="J4" s="1"/>
      <c r="K4" s="1"/>
      <c r="L4" s="1"/>
    </row>
    <row r="5" spans="1:12" x14ac:dyDescent="0.2">
      <c r="A5" s="54" t="s">
        <v>17</v>
      </c>
      <c r="B5" s="55">
        <f t="shared" si="0"/>
        <v>0</v>
      </c>
      <c r="C5" s="55"/>
      <c r="D5" s="7"/>
      <c r="E5" s="7"/>
      <c r="F5" s="7"/>
      <c r="G5" s="7"/>
      <c r="H5" s="7"/>
      <c r="I5" s="7"/>
      <c r="J5" s="7"/>
      <c r="K5" s="7"/>
      <c r="L5" s="7"/>
    </row>
    <row r="6" spans="1:12" x14ac:dyDescent="0.2">
      <c r="A6" s="54" t="s">
        <v>2</v>
      </c>
      <c r="B6" s="55">
        <f t="shared" si="0"/>
        <v>0</v>
      </c>
      <c r="C6" s="55"/>
    </row>
    <row r="7" spans="1:12" s="8" customFormat="1" x14ac:dyDescent="0.2">
      <c r="A7" s="54" t="s">
        <v>18</v>
      </c>
      <c r="B7" s="59">
        <f t="shared" si="0"/>
        <v>0</v>
      </c>
      <c r="C7" s="59">
        <f>C3+C4-C5+C6</f>
        <v>0</v>
      </c>
      <c r="D7" s="1"/>
      <c r="E7" s="1"/>
      <c r="F7" s="1"/>
      <c r="G7" s="1"/>
      <c r="H7" s="1"/>
      <c r="I7" s="1"/>
      <c r="J7" s="1"/>
      <c r="K7" s="1"/>
      <c r="L7" s="1"/>
    </row>
    <row r="8" spans="1:12" x14ac:dyDescent="0.2">
      <c r="A8" s="56" t="s">
        <v>24</v>
      </c>
      <c r="B8" s="59">
        <f t="shared" si="0"/>
        <v>0</v>
      </c>
      <c r="C8" s="59">
        <f>C7-C9-C16-C17-C18-C19-C20-C21</f>
        <v>0</v>
      </c>
      <c r="D8" s="8"/>
      <c r="E8" s="8"/>
      <c r="F8" s="8"/>
      <c r="G8" s="8"/>
      <c r="H8" s="8"/>
      <c r="I8" s="8"/>
      <c r="J8" s="8"/>
      <c r="K8" s="8"/>
      <c r="L8" s="8"/>
    </row>
    <row r="9" spans="1:12" x14ac:dyDescent="0.2">
      <c r="A9" s="57" t="s">
        <v>32</v>
      </c>
      <c r="B9" s="55">
        <f t="shared" si="0"/>
        <v>0</v>
      </c>
      <c r="C9" s="55"/>
    </row>
    <row r="10" spans="1:12" x14ac:dyDescent="0.2">
      <c r="A10" s="57" t="s">
        <v>23</v>
      </c>
      <c r="B10" s="55">
        <f t="shared" si="0"/>
        <v>0</v>
      </c>
      <c r="C10" s="55"/>
    </row>
    <row r="11" spans="1:12" x14ac:dyDescent="0.2">
      <c r="A11" s="57" t="s">
        <v>21</v>
      </c>
      <c r="B11" s="55">
        <f t="shared" si="0"/>
        <v>0</v>
      </c>
      <c r="C11" s="55"/>
      <c r="D11" s="7"/>
      <c r="E11" s="7"/>
      <c r="F11" s="7"/>
      <c r="G11" s="7"/>
      <c r="H11" s="7"/>
      <c r="I11" s="7"/>
      <c r="J11" s="7"/>
      <c r="K11" s="7"/>
      <c r="L11" s="7"/>
    </row>
    <row r="12" spans="1:12" s="7" customFormat="1" x14ac:dyDescent="0.2">
      <c r="A12" s="58" t="s">
        <v>25</v>
      </c>
      <c r="B12" s="55">
        <f t="shared" si="0"/>
        <v>0</v>
      </c>
      <c r="C12" s="55"/>
      <c r="D12" s="2"/>
      <c r="E12" s="1"/>
      <c r="F12" s="1"/>
      <c r="G12" s="1"/>
      <c r="H12" s="1"/>
      <c r="I12" s="1"/>
      <c r="J12" s="1"/>
      <c r="K12" s="1"/>
      <c r="L12" s="1"/>
    </row>
    <row r="13" spans="1:12" x14ac:dyDescent="0.2">
      <c r="A13" s="58" t="s">
        <v>3</v>
      </c>
      <c r="B13" s="55">
        <f t="shared" si="0"/>
        <v>0</v>
      </c>
      <c r="C13" s="55"/>
    </row>
    <row r="14" spans="1:12" x14ac:dyDescent="0.2">
      <c r="A14" s="58" t="s">
        <v>26</v>
      </c>
      <c r="B14" s="55">
        <f t="shared" si="0"/>
        <v>0</v>
      </c>
      <c r="C14" s="55"/>
      <c r="D14" s="7"/>
      <c r="E14" s="7"/>
      <c r="F14" s="7"/>
      <c r="G14" s="7"/>
      <c r="H14" s="7"/>
      <c r="I14" s="7"/>
      <c r="J14" s="7"/>
      <c r="K14" s="7"/>
      <c r="L14" s="7"/>
    </row>
    <row r="15" spans="1:12" s="7" customFormat="1" x14ac:dyDescent="0.2">
      <c r="A15" s="58" t="s">
        <v>19</v>
      </c>
      <c r="B15" s="55">
        <f t="shared" si="0"/>
        <v>0</v>
      </c>
      <c r="C15" s="55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">
      <c r="A16" s="57" t="s">
        <v>4</v>
      </c>
      <c r="B16" s="55">
        <f t="shared" si="0"/>
        <v>0</v>
      </c>
      <c r="C16" s="55"/>
    </row>
    <row r="17" spans="1:12" x14ac:dyDescent="0.2">
      <c r="A17" s="57" t="s">
        <v>5</v>
      </c>
      <c r="B17" s="55">
        <f t="shared" si="0"/>
        <v>0</v>
      </c>
      <c r="C17" s="55"/>
      <c r="D17" s="7"/>
      <c r="E17" s="7"/>
      <c r="F17" s="7"/>
      <c r="G17" s="7"/>
      <c r="H17" s="7"/>
      <c r="I17" s="7"/>
      <c r="J17" s="7"/>
      <c r="K17" s="7"/>
      <c r="L17" s="7"/>
    </row>
    <row r="18" spans="1:12" s="7" customFormat="1" x14ac:dyDescent="0.2">
      <c r="A18" s="57" t="s">
        <v>27</v>
      </c>
      <c r="B18" s="55">
        <f t="shared" si="0"/>
        <v>0</v>
      </c>
      <c r="C18" s="55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">
      <c r="A19" s="57" t="s">
        <v>6</v>
      </c>
      <c r="B19" s="55">
        <f t="shared" si="0"/>
        <v>0</v>
      </c>
      <c r="C19" s="55"/>
    </row>
    <row r="20" spans="1:12" x14ac:dyDescent="0.2">
      <c r="A20" s="57" t="s">
        <v>22</v>
      </c>
      <c r="B20" s="55">
        <f t="shared" si="0"/>
        <v>0</v>
      </c>
      <c r="C20" s="55"/>
      <c r="D20" s="8"/>
      <c r="E20" s="9"/>
      <c r="F20" s="8"/>
      <c r="G20" s="8"/>
      <c r="H20" s="9"/>
      <c r="I20" s="8"/>
      <c r="J20" s="8"/>
      <c r="K20" s="8"/>
      <c r="L20" s="8"/>
    </row>
    <row r="21" spans="1:12" s="8" customFormat="1" x14ac:dyDescent="0.2">
      <c r="A21" s="60" t="s">
        <v>7</v>
      </c>
      <c r="B21" s="59">
        <f t="shared" si="0"/>
        <v>0</v>
      </c>
      <c r="C21" s="59">
        <f>C22+C23+C29+C30+C35+C36+C37</f>
        <v>0</v>
      </c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">
      <c r="A22" s="60" t="s">
        <v>12</v>
      </c>
      <c r="B22" s="55">
        <f t="shared" si="0"/>
        <v>0</v>
      </c>
      <c r="C22" s="55"/>
    </row>
    <row r="23" spans="1:12" x14ac:dyDescent="0.2">
      <c r="A23" s="60" t="s">
        <v>53</v>
      </c>
      <c r="B23" s="55">
        <f t="shared" si="0"/>
        <v>0</v>
      </c>
      <c r="C23" s="55"/>
    </row>
    <row r="24" spans="1:12" x14ac:dyDescent="0.2">
      <c r="A24" s="60" t="s">
        <v>56</v>
      </c>
      <c r="B24" s="55">
        <f t="shared" si="0"/>
        <v>0</v>
      </c>
      <c r="C24" s="55"/>
    </row>
    <row r="25" spans="1:12" x14ac:dyDescent="0.2">
      <c r="A25" s="60" t="s">
        <v>57</v>
      </c>
      <c r="B25" s="55">
        <f t="shared" si="0"/>
        <v>0</v>
      </c>
      <c r="C25" s="55"/>
    </row>
    <row r="26" spans="1:12" x14ac:dyDescent="0.2">
      <c r="A26" s="60" t="s">
        <v>58</v>
      </c>
      <c r="B26" s="55">
        <f t="shared" si="0"/>
        <v>0</v>
      </c>
      <c r="C26" s="55"/>
      <c r="D26" s="7"/>
      <c r="E26" s="7"/>
      <c r="F26" s="7"/>
      <c r="G26" s="7"/>
      <c r="H26" s="7"/>
      <c r="I26" s="7"/>
      <c r="J26" s="7"/>
      <c r="K26" s="7"/>
      <c r="L26" s="7"/>
    </row>
    <row r="27" spans="1:12" s="7" customFormat="1" ht="25.5" x14ac:dyDescent="0.2">
      <c r="A27" s="60" t="s">
        <v>59</v>
      </c>
      <c r="B27" s="55">
        <f t="shared" si="0"/>
        <v>0</v>
      </c>
      <c r="C27" s="55"/>
    </row>
    <row r="28" spans="1:12" s="7" customFormat="1" x14ac:dyDescent="0.2">
      <c r="A28" s="60" t="s">
        <v>60</v>
      </c>
      <c r="B28" s="55">
        <f t="shared" si="0"/>
        <v>0</v>
      </c>
      <c r="C28" s="55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">
      <c r="A29" s="60" t="s">
        <v>20</v>
      </c>
      <c r="B29" s="55">
        <f t="shared" si="0"/>
        <v>0</v>
      </c>
      <c r="C29" s="55"/>
    </row>
    <row r="30" spans="1:12" x14ac:dyDescent="0.2">
      <c r="A30" s="60" t="s">
        <v>29</v>
      </c>
      <c r="B30" s="55">
        <f t="shared" si="0"/>
        <v>0</v>
      </c>
      <c r="C30" s="55"/>
      <c r="D30" s="7"/>
      <c r="E30" s="7"/>
      <c r="F30" s="7"/>
      <c r="G30" s="7"/>
      <c r="H30" s="7"/>
      <c r="I30" s="7"/>
      <c r="J30" s="7"/>
      <c r="K30" s="7"/>
      <c r="L30" s="7"/>
    </row>
    <row r="31" spans="1:12" s="7" customFormat="1" x14ac:dyDescent="0.2">
      <c r="A31" s="61" t="s">
        <v>8</v>
      </c>
      <c r="B31" s="55">
        <f t="shared" si="0"/>
        <v>0</v>
      </c>
      <c r="C31" s="55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">
      <c r="A32" s="61" t="s">
        <v>9</v>
      </c>
      <c r="B32" s="55">
        <f t="shared" si="0"/>
        <v>0</v>
      </c>
      <c r="C32" s="55"/>
    </row>
    <row r="33" spans="1:12" x14ac:dyDescent="0.2">
      <c r="A33" s="61" t="s">
        <v>10</v>
      </c>
      <c r="B33" s="55">
        <f t="shared" si="0"/>
        <v>0</v>
      </c>
      <c r="C33" s="55"/>
      <c r="D33" s="7"/>
      <c r="E33" s="7"/>
      <c r="F33" s="7"/>
      <c r="G33" s="7"/>
      <c r="H33" s="7"/>
      <c r="I33" s="7"/>
      <c r="J33" s="7"/>
      <c r="K33" s="7"/>
      <c r="L33" s="7"/>
    </row>
    <row r="34" spans="1:12" s="7" customFormat="1" x14ac:dyDescent="0.2">
      <c r="A34" s="61" t="s">
        <v>11</v>
      </c>
      <c r="B34" s="55">
        <f t="shared" si="0"/>
        <v>0</v>
      </c>
      <c r="C34" s="55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">
      <c r="A35" s="60" t="s">
        <v>13</v>
      </c>
      <c r="B35" s="55">
        <f t="shared" si="0"/>
        <v>0</v>
      </c>
      <c r="C35" s="55"/>
    </row>
    <row r="36" spans="1:12" x14ac:dyDescent="0.2">
      <c r="A36" s="60" t="s">
        <v>14</v>
      </c>
      <c r="B36" s="55">
        <f t="shared" si="0"/>
        <v>0</v>
      </c>
      <c r="C36" s="55"/>
    </row>
    <row r="37" spans="1:12" x14ac:dyDescent="0.2">
      <c r="A37" s="60" t="s">
        <v>15</v>
      </c>
      <c r="B37" s="55">
        <f t="shared" si="0"/>
        <v>0</v>
      </c>
      <c r="C37" s="55"/>
      <c r="K37" s="2"/>
      <c r="L37" s="2"/>
    </row>
    <row r="38" spans="1:12" x14ac:dyDescent="0.2">
      <c r="K38" s="2"/>
      <c r="L38" s="2"/>
    </row>
  </sheetData>
  <sheetProtection selectLockedCells="1" selectUnlockedCells="1"/>
  <conditionalFormatting sqref="H3:H7 H21:H36 H10:K19">
    <cfRule type="cellIs" dxfId="49" priority="28" operator="equal">
      <formula>0</formula>
    </cfRule>
  </conditionalFormatting>
  <conditionalFormatting sqref="I3:I7 I21:I36">
    <cfRule type="cellIs" dxfId="48" priority="27" operator="equal">
      <formula>0</formula>
    </cfRule>
  </conditionalFormatting>
  <conditionalFormatting sqref="J3:J7 J21:J36">
    <cfRule type="cellIs" dxfId="47" priority="26" operator="equal">
      <formula>0</formula>
    </cfRule>
  </conditionalFormatting>
  <conditionalFormatting sqref="K3:K7 K21:K36">
    <cfRule type="cellIs" dxfId="46" priority="25" operator="equal">
      <formula>0</formula>
    </cfRule>
  </conditionalFormatting>
  <conditionalFormatting sqref="E3:G7 E21:G36 E10:G19">
    <cfRule type="cellIs" dxfId="45" priority="21" operator="equal">
      <formula>0</formula>
    </cfRule>
  </conditionalFormatting>
  <conditionalFormatting sqref="D3:D7 D21:D36 D10:D19">
    <cfRule type="cellIs" dxfId="44" priority="20" operator="equal">
      <formula>0</formula>
    </cfRule>
  </conditionalFormatting>
  <conditionalFormatting sqref="F1">
    <cfRule type="cellIs" dxfId="43" priority="19" operator="equal">
      <formula>0</formula>
    </cfRule>
  </conditionalFormatting>
  <conditionalFormatting sqref="D3:D6 D22:D36">
    <cfRule type="cellIs" dxfId="42" priority="13" operator="equal">
      <formula>0</formula>
    </cfRule>
  </conditionalFormatting>
  <conditionalFormatting sqref="D9:D20">
    <cfRule type="cellIs" dxfId="41" priority="12" operator="equal">
      <formula>0</formula>
    </cfRule>
  </conditionalFormatting>
  <conditionalFormatting sqref="D37">
    <cfRule type="cellIs" dxfId="40" priority="11" operator="equal">
      <formula>0</formula>
    </cfRule>
  </conditionalFormatting>
  <conditionalFormatting sqref="E3:E7 E21:E36 E10:E19">
    <cfRule type="cellIs" dxfId="39" priority="10" operator="equal">
      <formula>0</formula>
    </cfRule>
  </conditionalFormatting>
  <conditionalFormatting sqref="E3:E6 E22:E36">
    <cfRule type="cellIs" dxfId="38" priority="9" operator="equal">
      <formula>0</formula>
    </cfRule>
  </conditionalFormatting>
  <conditionalFormatting sqref="E9:E20">
    <cfRule type="cellIs" dxfId="37" priority="8" operator="equal">
      <formula>0</formula>
    </cfRule>
  </conditionalFormatting>
  <conditionalFormatting sqref="E37">
    <cfRule type="cellIs" dxfId="36" priority="7" operator="equal">
      <formula>0</formula>
    </cfRule>
  </conditionalFormatting>
  <conditionalFormatting sqref="E3:E7 E21:E36 E10:G19">
    <cfRule type="cellIs" dxfId="35" priority="4" operator="equal">
      <formula>0</formula>
    </cfRule>
  </conditionalFormatting>
  <conditionalFormatting sqref="F3:F7 F21:F36">
    <cfRule type="cellIs" dxfId="34" priority="3" operator="equal">
      <formula>0</formula>
    </cfRule>
  </conditionalFormatting>
  <conditionalFormatting sqref="G3:G7 G21:G36">
    <cfRule type="cellIs" dxfId="33" priority="2" operator="equal">
      <formula>0</formula>
    </cfRule>
  </conditionalFormatting>
  <conditionalFormatting sqref="D3:D7 D21:D36 D10:D19">
    <cfRule type="cellIs" dxfId="32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1619250</xdr:colOff>
                    <xdr:row>38</xdr:row>
                    <xdr:rowOff>123825</xdr:rowOff>
                  </from>
                  <to>
                    <xdr:col>2</xdr:col>
                    <xdr:colOff>819150</xdr:colOff>
                    <xdr:row>43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B050"/>
    <pageSetUpPr fitToPage="1"/>
  </sheetPr>
  <dimension ref="A1:L38"/>
  <sheetViews>
    <sheetView zoomScale="115" zoomScaleNormal="115" workbookViewId="0">
      <selection activeCell="B11" sqref="B11"/>
    </sheetView>
  </sheetViews>
  <sheetFormatPr defaultColWidth="8.85546875" defaultRowHeight="12.75" x14ac:dyDescent="0.2"/>
  <cols>
    <col min="1" max="1" width="57.140625" style="1" bestFit="1" customWidth="1"/>
    <col min="2" max="6" width="14.140625" style="1" customWidth="1"/>
    <col min="7" max="7" width="11.42578125" style="1" bestFit="1" customWidth="1"/>
    <col min="8" max="10" width="9" style="1" bestFit="1" customWidth="1"/>
    <col min="11" max="11" width="11.42578125" style="1" bestFit="1" customWidth="1"/>
    <col min="12" max="16384" width="8.85546875" style="1"/>
  </cols>
  <sheetData>
    <row r="1" spans="1:12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4" t="str">
        <f>Баланс!K1</f>
        <v>2022 год</v>
      </c>
      <c r="G1" s="63">
        <f>Баланс!L1</f>
        <v>0</v>
      </c>
      <c r="H1" s="14"/>
      <c r="I1" s="17"/>
      <c r="J1" s="18"/>
      <c r="K1" s="18"/>
      <c r="L1" s="5"/>
    </row>
    <row r="2" spans="1:12" s="6" customFormat="1" ht="25.5" x14ac:dyDescent="0.2">
      <c r="A2" s="52" t="s">
        <v>30</v>
      </c>
      <c r="B2" s="53" t="s">
        <v>61</v>
      </c>
    </row>
    <row r="3" spans="1:12" x14ac:dyDescent="0.2">
      <c r="A3" s="54" t="s">
        <v>28</v>
      </c>
      <c r="B3" s="55">
        <f>'Пр.тв.т. '!B3+Пеллеты!B3+Древесина!B3</f>
        <v>0</v>
      </c>
    </row>
    <row r="4" spans="1:12" s="7" customFormat="1" x14ac:dyDescent="0.2">
      <c r="A4" s="54" t="s">
        <v>16</v>
      </c>
      <c r="B4" s="55">
        <f>'Пр.тв.т. '!B4+Пеллеты!B4+Древесина!B4</f>
        <v>0</v>
      </c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">
      <c r="A5" s="54" t="s">
        <v>17</v>
      </c>
      <c r="B5" s="55"/>
      <c r="C5" s="7"/>
      <c r="D5" s="7"/>
      <c r="E5" s="7"/>
      <c r="F5" s="7"/>
      <c r="G5" s="7"/>
      <c r="H5" s="7"/>
      <c r="I5" s="7"/>
      <c r="J5" s="7"/>
      <c r="K5" s="7"/>
      <c r="L5" s="7"/>
    </row>
    <row r="6" spans="1:12" x14ac:dyDescent="0.2">
      <c r="A6" s="54" t="s">
        <v>2</v>
      </c>
      <c r="B6" s="55">
        <f>'Пр.тв.т. '!B6+Пеллеты!B6+Древесина!B6</f>
        <v>0</v>
      </c>
    </row>
    <row r="7" spans="1:12" s="8" customFormat="1" x14ac:dyDescent="0.2">
      <c r="A7" s="54" t="s">
        <v>18</v>
      </c>
      <c r="B7" s="59">
        <f>'Пр.тв.т. '!B7+Пеллеты!B7+Древесина!B7</f>
        <v>0</v>
      </c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2">
      <c r="A8" s="56" t="s">
        <v>24</v>
      </c>
      <c r="B8" s="55">
        <f>'Пр.тв.т. '!B8+Пеллеты!B8+Древесина!B8</f>
        <v>0</v>
      </c>
      <c r="C8" s="8"/>
      <c r="D8" s="8"/>
      <c r="E8" s="8"/>
      <c r="F8" s="8"/>
      <c r="G8" s="8"/>
      <c r="H8" s="8"/>
      <c r="I8" s="8"/>
      <c r="J8" s="8"/>
      <c r="K8" s="8"/>
      <c r="L8" s="8"/>
    </row>
    <row r="9" spans="1:12" x14ac:dyDescent="0.2">
      <c r="A9" s="57" t="s">
        <v>32</v>
      </c>
      <c r="B9" s="55">
        <f>'Пр.тв.т. '!B9+Пеллеты!B9+Древесина!B9</f>
        <v>0</v>
      </c>
    </row>
    <row r="10" spans="1:12" x14ac:dyDescent="0.2">
      <c r="A10" s="57" t="s">
        <v>23</v>
      </c>
      <c r="B10" s="55">
        <f>'Пр.тв.т. '!B10+Пеллеты!B10+Древесина!B10</f>
        <v>0</v>
      </c>
    </row>
    <row r="11" spans="1:12" x14ac:dyDescent="0.2">
      <c r="A11" s="57" t="s">
        <v>21</v>
      </c>
      <c r="B11" s="55">
        <f>'Пр.тв.т. '!B11+Пеллеты!B11+Древесина!B11</f>
        <v>0</v>
      </c>
      <c r="C11" s="7"/>
      <c r="D11" s="7"/>
      <c r="E11" s="7"/>
      <c r="F11" s="7"/>
      <c r="G11" s="7"/>
      <c r="H11" s="7"/>
      <c r="I11" s="7"/>
      <c r="J11" s="7"/>
      <c r="K11" s="7"/>
      <c r="L11" s="7"/>
    </row>
    <row r="12" spans="1:12" s="7" customFormat="1" x14ac:dyDescent="0.2">
      <c r="A12" s="58" t="s">
        <v>25</v>
      </c>
      <c r="B12" s="55">
        <f>'Пр.тв.т. '!B12+Пеллеты!B12+Древесина!B12</f>
        <v>0</v>
      </c>
      <c r="C12" s="1"/>
      <c r="D12" s="1"/>
      <c r="E12" s="1"/>
      <c r="F12" s="1"/>
      <c r="G12" s="2"/>
      <c r="H12" s="1"/>
      <c r="I12" s="1"/>
      <c r="J12" s="1"/>
      <c r="K12" s="1"/>
      <c r="L12" s="1"/>
    </row>
    <row r="13" spans="1:12" x14ac:dyDescent="0.2">
      <c r="A13" s="58" t="s">
        <v>3</v>
      </c>
      <c r="B13" s="55">
        <f>'Пр.тв.т. '!B13+Пеллеты!B13+Древесина!B13</f>
        <v>0</v>
      </c>
    </row>
    <row r="14" spans="1:12" x14ac:dyDescent="0.2">
      <c r="A14" s="58" t="s">
        <v>26</v>
      </c>
      <c r="B14" s="55">
        <f>'Пр.тв.т. '!B14+Пеллеты!B14+Древесина!B14</f>
        <v>0</v>
      </c>
      <c r="C14" s="7"/>
      <c r="D14" s="7"/>
      <c r="E14" s="7"/>
      <c r="F14" s="7"/>
      <c r="G14" s="7"/>
      <c r="H14" s="7"/>
      <c r="I14" s="7"/>
      <c r="J14" s="7"/>
      <c r="K14" s="7"/>
      <c r="L14" s="7"/>
    </row>
    <row r="15" spans="1:12" s="7" customFormat="1" x14ac:dyDescent="0.2">
      <c r="A15" s="58" t="s">
        <v>19</v>
      </c>
      <c r="B15" s="55">
        <f>'Пр.тв.т. '!B15+Пеллеты!B15+Древесина!B15</f>
        <v>0</v>
      </c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">
      <c r="A16" s="57" t="s">
        <v>4</v>
      </c>
      <c r="B16" s="55">
        <f>'Пр.тв.т. '!B16+Пеллеты!B16+Древесина!B16</f>
        <v>0</v>
      </c>
    </row>
    <row r="17" spans="1:12" x14ac:dyDescent="0.2">
      <c r="A17" s="57" t="s">
        <v>5</v>
      </c>
      <c r="B17" s="55">
        <f>'Пр.тв.т. '!B17+Пеллеты!B17+Древесина!B17</f>
        <v>0</v>
      </c>
      <c r="C17" s="7"/>
      <c r="D17" s="7"/>
      <c r="E17" s="7"/>
      <c r="F17" s="7"/>
      <c r="G17" s="7"/>
      <c r="H17" s="7"/>
      <c r="I17" s="7"/>
      <c r="J17" s="7"/>
      <c r="K17" s="7"/>
      <c r="L17" s="7"/>
    </row>
    <row r="18" spans="1:12" s="7" customFormat="1" x14ac:dyDescent="0.2">
      <c r="A18" s="57" t="s">
        <v>27</v>
      </c>
      <c r="B18" s="55">
        <f>'Пр.тв.т. '!B18+Пеллеты!B18+Древесина!B18</f>
        <v>0</v>
      </c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">
      <c r="A19" s="57" t="s">
        <v>6</v>
      </c>
      <c r="B19" s="55">
        <f>'Пр.тв.т. '!B19+Пеллеты!B19+Древесина!B19</f>
        <v>0</v>
      </c>
    </row>
    <row r="20" spans="1:12" x14ac:dyDescent="0.2">
      <c r="A20" s="57" t="s">
        <v>22</v>
      </c>
      <c r="B20" s="59">
        <f>'Пр.тв.т. '!B20+Пеллеты!B20+Древесина!B20</f>
        <v>0</v>
      </c>
      <c r="C20" s="8"/>
      <c r="D20" s="8"/>
      <c r="E20" s="8"/>
      <c r="F20" s="8"/>
      <c r="G20" s="8"/>
      <c r="H20" s="9"/>
      <c r="I20" s="8"/>
      <c r="J20" s="8"/>
      <c r="K20" s="8"/>
      <c r="L20" s="8"/>
    </row>
    <row r="21" spans="1:12" s="8" customFormat="1" x14ac:dyDescent="0.2">
      <c r="A21" s="60" t="s">
        <v>7</v>
      </c>
      <c r="B21" s="55">
        <f>'Пр.тв.т. '!B21+Пеллеты!B21+Древесина!B21</f>
        <v>0</v>
      </c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">
      <c r="A22" s="60" t="s">
        <v>12</v>
      </c>
      <c r="B22" s="55">
        <f>'Пр.тв.т. '!B22+Пеллеты!B22+Древесина!B22</f>
        <v>0</v>
      </c>
    </row>
    <row r="23" spans="1:12" x14ac:dyDescent="0.2">
      <c r="A23" s="60" t="s">
        <v>53</v>
      </c>
      <c r="B23" s="55">
        <f>'Пр.тв.т. '!B23+Пеллеты!B23+Древесина!B23</f>
        <v>0</v>
      </c>
    </row>
    <row r="24" spans="1:12" x14ac:dyDescent="0.2">
      <c r="A24" s="60" t="s">
        <v>56</v>
      </c>
      <c r="B24" s="55">
        <f>'Пр.тв.т. '!B24+Пеллеты!B24+Древесина!B24</f>
        <v>0</v>
      </c>
    </row>
    <row r="25" spans="1:12" x14ac:dyDescent="0.2">
      <c r="A25" s="60" t="s">
        <v>57</v>
      </c>
      <c r="B25" s="55">
        <f>'Пр.тв.т. '!B25+Пеллеты!B25+Древесина!B25</f>
        <v>0</v>
      </c>
    </row>
    <row r="26" spans="1:12" x14ac:dyDescent="0.2">
      <c r="A26" s="60" t="s">
        <v>58</v>
      </c>
      <c r="B26" s="55">
        <f>'Пр.тв.т. '!B26+Пеллеты!B26+Древесина!B26</f>
        <v>0</v>
      </c>
      <c r="C26" s="7"/>
      <c r="D26" s="7"/>
      <c r="E26" s="7"/>
      <c r="F26" s="7"/>
      <c r="G26" s="7"/>
      <c r="H26" s="7"/>
      <c r="I26" s="7"/>
      <c r="J26" s="7"/>
      <c r="K26" s="7"/>
      <c r="L26" s="7"/>
    </row>
    <row r="27" spans="1:12" s="7" customFormat="1" ht="12" customHeight="1" x14ac:dyDescent="0.2">
      <c r="A27" s="60" t="s">
        <v>59</v>
      </c>
      <c r="B27" s="55">
        <f>'Пр.тв.т. '!B27+Пеллеты!B27+Древесина!B27</f>
        <v>0</v>
      </c>
    </row>
    <row r="28" spans="1:12" s="7" customFormat="1" x14ac:dyDescent="0.2">
      <c r="A28" s="60" t="s">
        <v>60</v>
      </c>
      <c r="B28" s="55">
        <f>'Пр.тв.т. '!B28+Пеллеты!B28+Древесина!B28</f>
        <v>0</v>
      </c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">
      <c r="A29" s="60" t="s">
        <v>20</v>
      </c>
      <c r="B29" s="55">
        <f>'Пр.тв.т. '!B29+Пеллеты!B29+Древесина!B29</f>
        <v>0</v>
      </c>
    </row>
    <row r="30" spans="1:12" x14ac:dyDescent="0.2">
      <c r="A30" s="60" t="s">
        <v>29</v>
      </c>
      <c r="B30" s="55">
        <f>'Пр.тв.т. '!B30+Пеллеты!B30+Древесина!B30</f>
        <v>0</v>
      </c>
      <c r="C30" s="7"/>
      <c r="D30" s="7"/>
      <c r="E30" s="7"/>
      <c r="F30" s="7"/>
      <c r="G30" s="7"/>
      <c r="H30" s="7"/>
      <c r="I30" s="7"/>
      <c r="J30" s="7"/>
      <c r="K30" s="7"/>
      <c r="L30" s="7"/>
    </row>
    <row r="31" spans="1:12" s="7" customFormat="1" x14ac:dyDescent="0.2">
      <c r="A31" s="61" t="s">
        <v>8</v>
      </c>
      <c r="B31" s="55">
        <f>'Пр.тв.т. '!B31+Пеллеты!B31+Древесина!B31</f>
        <v>0</v>
      </c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">
      <c r="A32" s="61" t="s">
        <v>9</v>
      </c>
      <c r="B32" s="55">
        <f>'Пр.тв.т. '!B32+Пеллеты!B32+Древесина!B32</f>
        <v>0</v>
      </c>
    </row>
    <row r="33" spans="1:12" x14ac:dyDescent="0.2">
      <c r="A33" s="61" t="s">
        <v>10</v>
      </c>
      <c r="B33" s="55">
        <f>'Пр.тв.т. '!B33+Пеллеты!B33+Древесина!B33</f>
        <v>0</v>
      </c>
      <c r="C33" s="7"/>
      <c r="D33" s="7"/>
      <c r="E33" s="7"/>
      <c r="F33" s="7"/>
      <c r="G33" s="7"/>
      <c r="H33" s="7"/>
      <c r="I33" s="7"/>
      <c r="J33" s="7"/>
      <c r="K33" s="7"/>
      <c r="L33" s="7"/>
    </row>
    <row r="34" spans="1:12" s="7" customFormat="1" x14ac:dyDescent="0.2">
      <c r="A34" s="61" t="s">
        <v>11</v>
      </c>
      <c r="B34" s="55">
        <f>'Пр.тв.т. '!B34+Пеллеты!B34+Древесина!B34</f>
        <v>0</v>
      </c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">
      <c r="A35" s="60" t="s">
        <v>13</v>
      </c>
      <c r="B35" s="55">
        <f>'Пр.тв.т. '!B35+Пеллеты!B35+Древесина!B35</f>
        <v>0</v>
      </c>
    </row>
    <row r="36" spans="1:12" x14ac:dyDescent="0.2">
      <c r="A36" s="60" t="s">
        <v>14</v>
      </c>
      <c r="B36" s="55">
        <f>'Пр.тв.т. '!B36+Пеллеты!B36+Древесина!B36</f>
        <v>0</v>
      </c>
    </row>
    <row r="37" spans="1:12" x14ac:dyDescent="0.2">
      <c r="A37" s="60" t="s">
        <v>15</v>
      </c>
      <c r="B37" s="55">
        <f>'Пр.тв.т. '!B37+Пеллеты!B37+Древесина!B37</f>
        <v>0</v>
      </c>
      <c r="K37" s="2"/>
      <c r="L37" s="2"/>
    </row>
    <row r="38" spans="1:12" x14ac:dyDescent="0.2">
      <c r="K38" s="2"/>
      <c r="L38" s="2"/>
    </row>
  </sheetData>
  <sheetProtection selectLockedCells="1" selectUnlockedCells="1"/>
  <conditionalFormatting sqref="H3:H7 H21:H36 H10:K19">
    <cfRule type="cellIs" dxfId="31" priority="11" operator="equal">
      <formula>0</formula>
    </cfRule>
  </conditionalFormatting>
  <conditionalFormatting sqref="I3:I7 I21:I36">
    <cfRule type="cellIs" dxfId="30" priority="10" operator="equal">
      <formula>0</formula>
    </cfRule>
  </conditionalFormatting>
  <conditionalFormatting sqref="J3:J7 J21:J36">
    <cfRule type="cellIs" dxfId="29" priority="9" operator="equal">
      <formula>0</formula>
    </cfRule>
  </conditionalFormatting>
  <conditionalFormatting sqref="K3:K7 K21:K36">
    <cfRule type="cellIs" dxfId="28" priority="8" operator="equal">
      <formula>0</formula>
    </cfRule>
  </conditionalFormatting>
  <conditionalFormatting sqref="F1">
    <cfRule type="cellIs" dxfId="27" priority="1" operator="equal">
      <formula>0</formula>
    </cfRule>
  </conditionalFormatting>
  <conditionalFormatting sqref="D3:G7 D21:G36 D10:G19">
    <cfRule type="cellIs" dxfId="26" priority="5" operator="equal">
      <formula>0</formula>
    </cfRule>
  </conditionalFormatting>
  <conditionalFormatting sqref="C3:C7 C21:C36 C10:C19">
    <cfRule type="cellIs" dxfId="25" priority="4" operator="equal">
      <formula>0</formula>
    </cfRule>
  </conditionalFormatting>
  <conditionalFormatting sqref="B3:B36">
    <cfRule type="cellIs" dxfId="24" priority="3" operator="equal">
      <formula>0</formula>
    </cfRule>
  </conditionalFormatting>
  <conditionalFormatting sqref="B37">
    <cfRule type="cellIs" dxfId="23" priority="2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>
    <pageSetUpPr fitToPage="1"/>
  </sheetPr>
  <dimension ref="A1:J38"/>
  <sheetViews>
    <sheetView zoomScale="115" zoomScaleNormal="115" workbookViewId="0">
      <selection activeCell="B2" sqref="B2:B37"/>
    </sheetView>
  </sheetViews>
  <sheetFormatPr defaultColWidth="8.85546875" defaultRowHeight="12.75" x14ac:dyDescent="0.2"/>
  <cols>
    <col min="1" max="1" width="43.7109375" style="1" customWidth="1"/>
    <col min="2" max="2" width="14.7109375" style="1" customWidth="1"/>
    <col min="3" max="4" width="13.28515625" style="1" customWidth="1"/>
    <col min="5" max="5" width="11.42578125" style="1" bestFit="1" customWidth="1"/>
    <col min="6" max="8" width="9" style="1" bestFit="1" customWidth="1"/>
    <col min="9" max="9" width="11.42578125" style="1" bestFit="1" customWidth="1"/>
    <col min="10" max="16384" width="8.85546875" style="1"/>
  </cols>
  <sheetData>
    <row r="1" spans="1:10" ht="18" x14ac:dyDescent="0.25">
      <c r="A1" s="13"/>
      <c r="B1" s="14"/>
      <c r="C1" s="63" t="str">
        <f>Баланс!J1</f>
        <v>Московская область.</v>
      </c>
      <c r="D1" s="64" t="s">
        <v>104</v>
      </c>
      <c r="E1" s="63"/>
      <c r="F1" s="14"/>
      <c r="G1" s="17"/>
      <c r="H1" s="18"/>
      <c r="I1" s="18"/>
      <c r="J1" s="5"/>
    </row>
    <row r="2" spans="1:10" s="6" customFormat="1" ht="25.5" x14ac:dyDescent="0.2">
      <c r="A2" s="52" t="s">
        <v>63</v>
      </c>
      <c r="B2" s="53" t="s">
        <v>61</v>
      </c>
    </row>
    <row r="3" spans="1:10" x14ac:dyDescent="0.2">
      <c r="A3" s="54" t="s">
        <v>28</v>
      </c>
      <c r="B3" s="55"/>
    </row>
    <row r="4" spans="1:10" s="7" customFormat="1" x14ac:dyDescent="0.2">
      <c r="A4" s="54" t="s">
        <v>16</v>
      </c>
      <c r="B4" s="55"/>
      <c r="C4" s="1"/>
      <c r="D4" s="1"/>
      <c r="E4" s="1"/>
      <c r="F4" s="1"/>
      <c r="G4" s="1"/>
      <c r="H4" s="1"/>
      <c r="I4" s="1"/>
      <c r="J4" s="1"/>
    </row>
    <row r="5" spans="1:10" x14ac:dyDescent="0.2">
      <c r="A5" s="54" t="s">
        <v>17</v>
      </c>
      <c r="B5" s="55"/>
      <c r="C5" s="7"/>
      <c r="D5" s="7"/>
      <c r="E5" s="7"/>
      <c r="F5" s="7"/>
      <c r="G5" s="7"/>
      <c r="H5" s="7"/>
      <c r="I5" s="7"/>
      <c r="J5" s="7"/>
    </row>
    <row r="6" spans="1:10" x14ac:dyDescent="0.2">
      <c r="A6" s="54" t="s">
        <v>2</v>
      </c>
      <c r="B6" s="55"/>
    </row>
    <row r="7" spans="1:10" s="8" customFormat="1" x14ac:dyDescent="0.2">
      <c r="A7" s="54" t="s">
        <v>18</v>
      </c>
      <c r="B7" s="59">
        <f>B3+B4-B5+B6</f>
        <v>0</v>
      </c>
      <c r="C7" s="1"/>
      <c r="D7" s="1"/>
      <c r="E7" s="1"/>
      <c r="F7" s="1"/>
      <c r="G7" s="1"/>
      <c r="H7" s="1"/>
      <c r="I7" s="1"/>
      <c r="J7" s="1"/>
    </row>
    <row r="8" spans="1:10" x14ac:dyDescent="0.2">
      <c r="A8" s="56" t="s">
        <v>24</v>
      </c>
      <c r="B8" s="59">
        <f>B7-B9-B16-B17-B18-B19-B20-B21</f>
        <v>0</v>
      </c>
      <c r="C8" s="8"/>
      <c r="D8" s="8"/>
      <c r="E8" s="8"/>
      <c r="F8" s="8"/>
      <c r="G8" s="8"/>
      <c r="H8" s="8"/>
      <c r="I8" s="8"/>
      <c r="J8" s="8"/>
    </row>
    <row r="9" spans="1:10" x14ac:dyDescent="0.2">
      <c r="A9" s="57" t="s">
        <v>32</v>
      </c>
      <c r="B9" s="55"/>
    </row>
    <row r="10" spans="1:10" x14ac:dyDescent="0.2">
      <c r="A10" s="57" t="s">
        <v>23</v>
      </c>
      <c r="B10" s="55"/>
    </row>
    <row r="11" spans="1:10" x14ac:dyDescent="0.2">
      <c r="A11" s="57" t="s">
        <v>21</v>
      </c>
      <c r="B11" s="55"/>
      <c r="C11" s="7"/>
      <c r="D11" s="7"/>
      <c r="E11" s="7"/>
      <c r="F11" s="7"/>
      <c r="G11" s="7"/>
      <c r="H11" s="7"/>
      <c r="I11" s="7"/>
      <c r="J11" s="7"/>
    </row>
    <row r="12" spans="1:10" s="7" customFormat="1" x14ac:dyDescent="0.2">
      <c r="A12" s="58" t="s">
        <v>25</v>
      </c>
      <c r="B12" s="55"/>
      <c r="C12" s="2"/>
      <c r="D12" s="1"/>
      <c r="E12" s="2"/>
      <c r="F12" s="1"/>
      <c r="G12" s="1"/>
      <c r="H12" s="1"/>
      <c r="I12" s="1"/>
      <c r="J12" s="1"/>
    </row>
    <row r="13" spans="1:10" x14ac:dyDescent="0.2">
      <c r="A13" s="58" t="s">
        <v>3</v>
      </c>
      <c r="B13" s="55"/>
    </row>
    <row r="14" spans="1:10" x14ac:dyDescent="0.2">
      <c r="A14" s="58" t="s">
        <v>26</v>
      </c>
      <c r="B14" s="55"/>
      <c r="C14" s="7"/>
      <c r="D14" s="7"/>
      <c r="E14" s="7"/>
      <c r="F14" s="7"/>
      <c r="G14" s="7"/>
      <c r="H14" s="7"/>
      <c r="I14" s="7"/>
      <c r="J14" s="7"/>
    </row>
    <row r="15" spans="1:10" s="7" customFormat="1" ht="25.5" x14ac:dyDescent="0.2">
      <c r="A15" s="58" t="s">
        <v>19</v>
      </c>
      <c r="B15" s="55"/>
      <c r="C15" s="1"/>
      <c r="D15" s="1"/>
      <c r="E15" s="1"/>
      <c r="F15" s="1"/>
      <c r="G15" s="1"/>
      <c r="H15" s="1"/>
      <c r="I15" s="1"/>
      <c r="J15" s="1"/>
    </row>
    <row r="16" spans="1:10" x14ac:dyDescent="0.2">
      <c r="A16" s="57" t="s">
        <v>4</v>
      </c>
      <c r="B16" s="55"/>
    </row>
    <row r="17" spans="1:10" x14ac:dyDescent="0.2">
      <c r="A17" s="57" t="s">
        <v>5</v>
      </c>
      <c r="B17" s="55"/>
      <c r="C17" s="7"/>
      <c r="D17" s="7"/>
      <c r="E17" s="7"/>
      <c r="F17" s="7"/>
      <c r="G17" s="7"/>
      <c r="H17" s="7"/>
      <c r="I17" s="7"/>
      <c r="J17" s="7"/>
    </row>
    <row r="18" spans="1:10" s="7" customFormat="1" x14ac:dyDescent="0.2">
      <c r="A18" s="57" t="s">
        <v>27</v>
      </c>
      <c r="B18" s="55"/>
      <c r="C18" s="1"/>
      <c r="D18" s="1"/>
      <c r="E18" s="1"/>
      <c r="F18" s="1"/>
      <c r="G18" s="1"/>
      <c r="H18" s="1"/>
      <c r="I18" s="1"/>
      <c r="J18" s="1"/>
    </row>
    <row r="19" spans="1:10" x14ac:dyDescent="0.2">
      <c r="A19" s="57" t="s">
        <v>6</v>
      </c>
      <c r="B19" s="55"/>
    </row>
    <row r="20" spans="1:10" x14ac:dyDescent="0.2">
      <c r="A20" s="57" t="s">
        <v>22</v>
      </c>
      <c r="B20" s="55"/>
      <c r="C20" s="8"/>
      <c r="D20" s="9"/>
      <c r="E20" s="8"/>
      <c r="F20" s="9"/>
      <c r="G20" s="8"/>
      <c r="H20" s="8"/>
      <c r="I20" s="8"/>
      <c r="J20" s="8"/>
    </row>
    <row r="21" spans="1:10" s="8" customFormat="1" x14ac:dyDescent="0.2">
      <c r="A21" s="60" t="s">
        <v>7</v>
      </c>
      <c r="B21" s="59">
        <f>B22+B23+B29+B30+B35+B36+B37</f>
        <v>0</v>
      </c>
      <c r="C21" s="1"/>
      <c r="D21" s="1"/>
      <c r="E21" s="1"/>
      <c r="F21" s="1"/>
      <c r="G21" s="1"/>
      <c r="H21" s="1"/>
      <c r="I21" s="1"/>
      <c r="J21" s="1"/>
    </row>
    <row r="22" spans="1:10" x14ac:dyDescent="0.2">
      <c r="A22" s="60" t="s">
        <v>12</v>
      </c>
      <c r="B22" s="55"/>
    </row>
    <row r="23" spans="1:10" x14ac:dyDescent="0.2">
      <c r="A23" s="60" t="s">
        <v>53</v>
      </c>
      <c r="B23" s="55"/>
    </row>
    <row r="24" spans="1:10" x14ac:dyDescent="0.2">
      <c r="A24" s="60" t="s">
        <v>56</v>
      </c>
      <c r="B24" s="55"/>
    </row>
    <row r="25" spans="1:10" x14ac:dyDescent="0.2">
      <c r="A25" s="60" t="s">
        <v>57</v>
      </c>
      <c r="B25" s="55"/>
    </row>
    <row r="26" spans="1:10" x14ac:dyDescent="0.2">
      <c r="A26" s="60" t="s">
        <v>58</v>
      </c>
      <c r="B26" s="55"/>
      <c r="C26" s="7"/>
      <c r="D26" s="7"/>
      <c r="E26" s="7"/>
      <c r="F26" s="7"/>
      <c r="G26" s="7"/>
      <c r="H26" s="7"/>
      <c r="I26" s="7"/>
      <c r="J26" s="7"/>
    </row>
    <row r="27" spans="1:10" s="7" customFormat="1" ht="25.5" x14ac:dyDescent="0.2">
      <c r="A27" s="60" t="s">
        <v>59</v>
      </c>
      <c r="B27" s="55"/>
    </row>
    <row r="28" spans="1:10" s="7" customFormat="1" x14ac:dyDescent="0.2">
      <c r="A28" s="60" t="s">
        <v>60</v>
      </c>
      <c r="B28" s="55"/>
      <c r="C28" s="1"/>
      <c r="D28" s="1"/>
      <c r="E28" s="1"/>
      <c r="F28" s="1"/>
      <c r="G28" s="1"/>
      <c r="H28" s="1"/>
      <c r="I28" s="1"/>
      <c r="J28" s="1"/>
    </row>
    <row r="29" spans="1:10" x14ac:dyDescent="0.2">
      <c r="A29" s="60" t="s">
        <v>20</v>
      </c>
      <c r="B29" s="55"/>
    </row>
    <row r="30" spans="1:10" x14ac:dyDescent="0.2">
      <c r="A30" s="60" t="s">
        <v>29</v>
      </c>
      <c r="B30" s="55"/>
      <c r="C30" s="7"/>
      <c r="D30" s="7"/>
      <c r="E30" s="7"/>
      <c r="F30" s="7"/>
      <c r="G30" s="7"/>
      <c r="H30" s="7"/>
      <c r="I30" s="7"/>
      <c r="J30" s="7"/>
    </row>
    <row r="31" spans="1:10" s="7" customFormat="1" x14ac:dyDescent="0.2">
      <c r="A31" s="61" t="s">
        <v>8</v>
      </c>
      <c r="B31" s="55"/>
      <c r="C31" s="1"/>
      <c r="D31" s="1"/>
      <c r="E31" s="1"/>
      <c r="F31" s="1"/>
      <c r="G31" s="1"/>
      <c r="H31" s="1"/>
      <c r="I31" s="1"/>
      <c r="J31" s="1"/>
    </row>
    <row r="32" spans="1:10" x14ac:dyDescent="0.2">
      <c r="A32" s="61" t="s">
        <v>9</v>
      </c>
      <c r="B32" s="55"/>
    </row>
    <row r="33" spans="1:10" x14ac:dyDescent="0.2">
      <c r="A33" s="61" t="s">
        <v>10</v>
      </c>
      <c r="B33" s="55"/>
      <c r="C33" s="7"/>
      <c r="D33" s="7"/>
      <c r="E33" s="7"/>
      <c r="F33" s="7"/>
      <c r="G33" s="7"/>
      <c r="H33" s="7"/>
      <c r="I33" s="7"/>
      <c r="J33" s="7"/>
    </row>
    <row r="34" spans="1:10" s="7" customFormat="1" x14ac:dyDescent="0.2">
      <c r="A34" s="61" t="s">
        <v>11</v>
      </c>
      <c r="B34" s="55"/>
      <c r="C34" s="1"/>
      <c r="D34" s="1"/>
      <c r="E34" s="1"/>
      <c r="F34" s="1"/>
      <c r="G34" s="1"/>
      <c r="H34" s="1"/>
      <c r="I34" s="1"/>
      <c r="J34" s="1"/>
    </row>
    <row r="35" spans="1:10" x14ac:dyDescent="0.2">
      <c r="A35" s="60" t="s">
        <v>13</v>
      </c>
      <c r="B35" s="55"/>
    </row>
    <row r="36" spans="1:10" x14ac:dyDescent="0.2">
      <c r="A36" s="60" t="s">
        <v>14</v>
      </c>
      <c r="B36" s="55"/>
    </row>
    <row r="37" spans="1:10" x14ac:dyDescent="0.2">
      <c r="A37" s="60" t="s">
        <v>15</v>
      </c>
      <c r="B37" s="55"/>
      <c r="I37" s="2"/>
      <c r="J37" s="2"/>
    </row>
    <row r="38" spans="1:10" x14ac:dyDescent="0.2">
      <c r="I38" s="2"/>
      <c r="J38" s="2"/>
    </row>
  </sheetData>
  <sheetProtection selectLockedCells="1" selectUnlockedCells="1"/>
  <conditionalFormatting sqref="F3:F7 F21:F36 F10:I19">
    <cfRule type="cellIs" dxfId="22" priority="25" operator="equal">
      <formula>0</formula>
    </cfRule>
  </conditionalFormatting>
  <conditionalFormatting sqref="G3:G7 G21:G36">
    <cfRule type="cellIs" dxfId="21" priority="24" operator="equal">
      <formula>0</formula>
    </cfRule>
  </conditionalFormatting>
  <conditionalFormatting sqref="H3:H7 H21:H36">
    <cfRule type="cellIs" dxfId="20" priority="23" operator="equal">
      <formula>0</formula>
    </cfRule>
  </conditionalFormatting>
  <conditionalFormatting sqref="I3:I7 I21:I36">
    <cfRule type="cellIs" dxfId="19" priority="22" operator="equal">
      <formula>0</formula>
    </cfRule>
  </conditionalFormatting>
  <conditionalFormatting sqref="E3:E7 E21:E36 E10:E19">
    <cfRule type="cellIs" dxfId="18" priority="18" operator="equal">
      <formula>0</formula>
    </cfRule>
  </conditionalFormatting>
  <conditionalFormatting sqref="D1">
    <cfRule type="cellIs" dxfId="17" priority="16" operator="equal">
      <formula>0</formula>
    </cfRule>
  </conditionalFormatting>
  <conditionalFormatting sqref="D3:D7 D21:D36 D10:D19">
    <cfRule type="cellIs" dxfId="16" priority="2" operator="equal">
      <formula>0</formula>
    </cfRule>
  </conditionalFormatting>
  <conditionalFormatting sqref="C3:C7 C21:C36 C10:C19">
    <cfRule type="cellIs" dxfId="15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1543050</xdr:colOff>
                    <xdr:row>38</xdr:row>
                    <xdr:rowOff>123825</xdr:rowOff>
                  </from>
                  <to>
                    <xdr:col>2</xdr:col>
                    <xdr:colOff>0</xdr:colOff>
                    <xdr:row>43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>
    <pageSetUpPr fitToPage="1"/>
  </sheetPr>
  <dimension ref="A1:L38"/>
  <sheetViews>
    <sheetView zoomScale="130" zoomScaleNormal="130" workbookViewId="0">
      <selection activeCell="B21" sqref="B21:C21"/>
    </sheetView>
  </sheetViews>
  <sheetFormatPr defaultColWidth="8.85546875" defaultRowHeight="12.75" x14ac:dyDescent="0.2"/>
  <cols>
    <col min="1" max="1" width="43.28515625" style="1" customWidth="1"/>
    <col min="2" max="2" width="14.7109375" style="1" customWidth="1"/>
    <col min="3" max="3" width="15.85546875" style="1" customWidth="1"/>
    <col min="4" max="6" width="12.7109375" style="1" customWidth="1"/>
    <col min="7" max="7" width="11.42578125" style="1" bestFit="1" customWidth="1"/>
    <col min="8" max="10" width="9" style="1" bestFit="1" customWidth="1"/>
    <col min="11" max="11" width="11.42578125" style="1" bestFit="1" customWidth="1"/>
    <col min="12" max="16384" width="8.85546875" style="1"/>
  </cols>
  <sheetData>
    <row r="1" spans="1:12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4" t="str">
        <f>Баланс!K1</f>
        <v>2022 год</v>
      </c>
      <c r="G1" s="63"/>
      <c r="H1" s="14"/>
      <c r="I1" s="17"/>
      <c r="J1" s="18"/>
      <c r="K1" s="18"/>
      <c r="L1" s="5"/>
    </row>
    <row r="2" spans="1:12" s="6" customFormat="1" ht="51" x14ac:dyDescent="0.2">
      <c r="A2" s="52" t="s">
        <v>64</v>
      </c>
      <c r="B2" s="53" t="s">
        <v>88</v>
      </c>
      <c r="C2" s="53" t="s">
        <v>90</v>
      </c>
    </row>
    <row r="3" spans="1:12" x14ac:dyDescent="0.2">
      <c r="A3" s="54" t="s">
        <v>28</v>
      </c>
      <c r="B3" s="55">
        <f>C3*0.266/1000</f>
        <v>0</v>
      </c>
      <c r="C3" s="55"/>
    </row>
    <row r="4" spans="1:12" s="7" customFormat="1" x14ac:dyDescent="0.2">
      <c r="A4" s="54" t="s">
        <v>16</v>
      </c>
      <c r="B4" s="55">
        <f t="shared" ref="B4:B37" si="0">C4*0.266</f>
        <v>0</v>
      </c>
      <c r="C4" s="55"/>
      <c r="D4" s="1"/>
      <c r="E4" s="1"/>
      <c r="F4" s="1"/>
      <c r="G4" s="1"/>
      <c r="H4" s="1"/>
      <c r="I4" s="1"/>
      <c r="J4" s="1"/>
      <c r="K4" s="1"/>
      <c r="L4" s="1"/>
    </row>
    <row r="5" spans="1:12" x14ac:dyDescent="0.2">
      <c r="A5" s="54" t="s">
        <v>17</v>
      </c>
      <c r="B5" s="55">
        <f t="shared" si="0"/>
        <v>0</v>
      </c>
      <c r="C5" s="55"/>
      <c r="D5" s="7"/>
      <c r="E5" s="7"/>
      <c r="F5" s="7"/>
      <c r="G5" s="7"/>
      <c r="H5" s="7"/>
      <c r="I5" s="7"/>
      <c r="J5" s="7"/>
      <c r="K5" s="7"/>
      <c r="L5" s="7"/>
    </row>
    <row r="6" spans="1:12" x14ac:dyDescent="0.2">
      <c r="A6" s="54" t="s">
        <v>2</v>
      </c>
      <c r="B6" s="55">
        <f t="shared" ref="B6:B13" si="1">C6*0.266/1000</f>
        <v>0</v>
      </c>
      <c r="C6" s="55"/>
    </row>
    <row r="7" spans="1:12" s="8" customFormat="1" x14ac:dyDescent="0.2">
      <c r="A7" s="54" t="s">
        <v>18</v>
      </c>
      <c r="B7" s="59">
        <f t="shared" si="1"/>
        <v>0</v>
      </c>
      <c r="C7" s="59">
        <f>C3+C4-C5+C6</f>
        <v>0</v>
      </c>
      <c r="D7" s="1"/>
      <c r="E7" s="1"/>
      <c r="F7" s="1"/>
      <c r="G7" s="1"/>
      <c r="H7" s="1"/>
      <c r="I7" s="1"/>
      <c r="J7" s="1"/>
      <c r="K7" s="1"/>
      <c r="L7" s="1"/>
    </row>
    <row r="8" spans="1:12" x14ac:dyDescent="0.2">
      <c r="A8" s="56" t="s">
        <v>24</v>
      </c>
      <c r="B8" s="59">
        <f t="shared" si="1"/>
        <v>0</v>
      </c>
      <c r="C8" s="59">
        <f>C7-C9-C16-C17-C18-C19-C20-C21</f>
        <v>0</v>
      </c>
      <c r="D8" s="8"/>
      <c r="E8" s="8"/>
      <c r="F8" s="8"/>
      <c r="G8" s="8"/>
      <c r="H8" s="8"/>
      <c r="I8" s="8"/>
      <c r="J8" s="8"/>
      <c r="K8" s="8"/>
      <c r="L8" s="8"/>
    </row>
    <row r="9" spans="1:12" x14ac:dyDescent="0.2">
      <c r="A9" s="57" t="s">
        <v>32</v>
      </c>
      <c r="B9" s="55">
        <f t="shared" si="1"/>
        <v>0</v>
      </c>
      <c r="C9" s="55"/>
    </row>
    <row r="10" spans="1:12" x14ac:dyDescent="0.2">
      <c r="A10" s="57" t="s">
        <v>23</v>
      </c>
      <c r="B10" s="55">
        <f t="shared" si="1"/>
        <v>0</v>
      </c>
      <c r="C10" s="55"/>
    </row>
    <row r="11" spans="1:12" x14ac:dyDescent="0.2">
      <c r="A11" s="57" t="s">
        <v>21</v>
      </c>
      <c r="B11" s="55">
        <f t="shared" si="1"/>
        <v>0</v>
      </c>
      <c r="C11" s="55"/>
      <c r="D11" s="7"/>
      <c r="E11" s="7"/>
      <c r="F11" s="7"/>
      <c r="G11" s="7"/>
      <c r="H11" s="7"/>
      <c r="I11" s="7"/>
      <c r="J11" s="7"/>
      <c r="K11" s="7"/>
      <c r="L11" s="7"/>
    </row>
    <row r="12" spans="1:12" s="7" customFormat="1" x14ac:dyDescent="0.2">
      <c r="A12" s="58" t="s">
        <v>25</v>
      </c>
      <c r="B12" s="55">
        <f t="shared" si="1"/>
        <v>0</v>
      </c>
      <c r="C12" s="55"/>
      <c r="D12" s="1"/>
      <c r="E12" s="2"/>
      <c r="F12" s="1"/>
      <c r="G12" s="2"/>
      <c r="H12" s="1"/>
      <c r="I12" s="1"/>
      <c r="J12" s="1"/>
      <c r="K12" s="1"/>
      <c r="L12" s="1"/>
    </row>
    <row r="13" spans="1:12" x14ac:dyDescent="0.2">
      <c r="A13" s="58" t="s">
        <v>3</v>
      </c>
      <c r="B13" s="55">
        <f t="shared" si="1"/>
        <v>0</v>
      </c>
      <c r="C13" s="55"/>
    </row>
    <row r="14" spans="1:12" x14ac:dyDescent="0.2">
      <c r="A14" s="58" t="s">
        <v>26</v>
      </c>
      <c r="B14" s="55">
        <f t="shared" si="0"/>
        <v>0</v>
      </c>
      <c r="C14" s="55"/>
      <c r="D14" s="7"/>
      <c r="E14" s="7"/>
      <c r="F14" s="7"/>
      <c r="G14" s="7"/>
      <c r="H14" s="7"/>
      <c r="I14" s="7"/>
      <c r="J14" s="7"/>
      <c r="K14" s="7"/>
      <c r="L14" s="7"/>
    </row>
    <row r="15" spans="1:12" s="7" customFormat="1" ht="25.5" x14ac:dyDescent="0.2">
      <c r="A15" s="58" t="s">
        <v>19</v>
      </c>
      <c r="B15" s="55">
        <f t="shared" si="0"/>
        <v>0</v>
      </c>
      <c r="C15" s="55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">
      <c r="A16" s="57" t="s">
        <v>4</v>
      </c>
      <c r="B16" s="55">
        <f t="shared" si="0"/>
        <v>0</v>
      </c>
      <c r="C16" s="55"/>
    </row>
    <row r="17" spans="1:12" x14ac:dyDescent="0.2">
      <c r="A17" s="57" t="s">
        <v>5</v>
      </c>
      <c r="B17" s="55">
        <f t="shared" si="0"/>
        <v>0</v>
      </c>
      <c r="C17" s="55"/>
      <c r="D17" s="7"/>
      <c r="E17" s="7"/>
      <c r="F17" s="7"/>
      <c r="G17" s="7"/>
      <c r="H17" s="7"/>
      <c r="I17" s="7"/>
      <c r="J17" s="7"/>
      <c r="K17" s="7"/>
      <c r="L17" s="7"/>
    </row>
    <row r="18" spans="1:12" s="7" customFormat="1" x14ac:dyDescent="0.2">
      <c r="A18" s="57" t="s">
        <v>27</v>
      </c>
      <c r="B18" s="55">
        <f t="shared" si="0"/>
        <v>0</v>
      </c>
      <c r="C18" s="55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">
      <c r="A19" s="57" t="s">
        <v>6</v>
      </c>
      <c r="B19" s="55">
        <f t="shared" si="0"/>
        <v>0</v>
      </c>
      <c r="C19" s="55"/>
    </row>
    <row r="20" spans="1:12" x14ac:dyDescent="0.2">
      <c r="A20" s="57" t="s">
        <v>22</v>
      </c>
      <c r="B20" s="55">
        <f t="shared" si="0"/>
        <v>0</v>
      </c>
      <c r="C20" s="55"/>
      <c r="D20" s="8"/>
      <c r="E20" s="8"/>
      <c r="F20" s="8"/>
      <c r="G20" s="8"/>
      <c r="H20" s="9"/>
      <c r="I20" s="8"/>
      <c r="J20" s="8"/>
      <c r="K20" s="8"/>
      <c r="L20" s="8"/>
    </row>
    <row r="21" spans="1:12" s="8" customFormat="1" x14ac:dyDescent="0.2">
      <c r="A21" s="60" t="s">
        <v>7</v>
      </c>
      <c r="B21" s="59">
        <f t="shared" si="0"/>
        <v>0</v>
      </c>
      <c r="C21" s="59">
        <f>C22+C23+C29+C30+C35+C36+C37</f>
        <v>0</v>
      </c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">
      <c r="A22" s="60" t="s">
        <v>12</v>
      </c>
      <c r="B22" s="55">
        <f t="shared" si="0"/>
        <v>0</v>
      </c>
      <c r="C22" s="55"/>
    </row>
    <row r="23" spans="1:12" x14ac:dyDescent="0.2">
      <c r="A23" s="60" t="s">
        <v>53</v>
      </c>
      <c r="B23" s="55">
        <f t="shared" si="0"/>
        <v>0</v>
      </c>
      <c r="C23" s="55"/>
    </row>
    <row r="24" spans="1:12" x14ac:dyDescent="0.2">
      <c r="A24" s="60" t="s">
        <v>56</v>
      </c>
      <c r="B24" s="55">
        <f t="shared" si="0"/>
        <v>0</v>
      </c>
      <c r="C24" s="55"/>
    </row>
    <row r="25" spans="1:12" x14ac:dyDescent="0.2">
      <c r="A25" s="60" t="s">
        <v>57</v>
      </c>
      <c r="B25" s="55">
        <f t="shared" si="0"/>
        <v>0</v>
      </c>
      <c r="C25" s="55"/>
    </row>
    <row r="26" spans="1:12" x14ac:dyDescent="0.2">
      <c r="A26" s="60" t="s">
        <v>58</v>
      </c>
      <c r="B26" s="55">
        <f t="shared" si="0"/>
        <v>0</v>
      </c>
      <c r="C26" s="55"/>
      <c r="D26" s="7"/>
      <c r="E26" s="7"/>
      <c r="F26" s="7"/>
      <c r="G26" s="7"/>
      <c r="H26" s="7"/>
      <c r="I26" s="7"/>
      <c r="J26" s="7"/>
      <c r="K26" s="7"/>
      <c r="L26" s="7"/>
    </row>
    <row r="27" spans="1:12" s="7" customFormat="1" ht="25.5" x14ac:dyDescent="0.2">
      <c r="A27" s="60" t="s">
        <v>59</v>
      </c>
      <c r="B27" s="55">
        <f t="shared" si="0"/>
        <v>0</v>
      </c>
      <c r="C27" s="55"/>
    </row>
    <row r="28" spans="1:12" s="7" customFormat="1" x14ac:dyDescent="0.2">
      <c r="A28" s="60" t="s">
        <v>60</v>
      </c>
      <c r="B28" s="55">
        <f t="shared" si="0"/>
        <v>0</v>
      </c>
      <c r="C28" s="55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">
      <c r="A29" s="60" t="s">
        <v>20</v>
      </c>
      <c r="B29" s="55">
        <f t="shared" si="0"/>
        <v>0</v>
      </c>
      <c r="C29" s="55"/>
    </row>
    <row r="30" spans="1:12" x14ac:dyDescent="0.2">
      <c r="A30" s="60" t="s">
        <v>29</v>
      </c>
      <c r="B30" s="55">
        <f t="shared" si="0"/>
        <v>0</v>
      </c>
      <c r="C30" s="55"/>
      <c r="D30" s="7"/>
      <c r="E30" s="7"/>
      <c r="F30" s="7"/>
      <c r="G30" s="7"/>
      <c r="H30" s="7"/>
      <c r="I30" s="7"/>
      <c r="J30" s="7"/>
      <c r="K30" s="7"/>
      <c r="L30" s="7"/>
    </row>
    <row r="31" spans="1:12" s="7" customFormat="1" x14ac:dyDescent="0.2">
      <c r="A31" s="61" t="s">
        <v>8</v>
      </c>
      <c r="B31" s="55">
        <f t="shared" si="0"/>
        <v>0</v>
      </c>
      <c r="C31" s="55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">
      <c r="A32" s="61" t="s">
        <v>9</v>
      </c>
      <c r="B32" s="55">
        <f t="shared" si="0"/>
        <v>0</v>
      </c>
      <c r="C32" s="55"/>
    </row>
    <row r="33" spans="1:12" x14ac:dyDescent="0.2">
      <c r="A33" s="61" t="s">
        <v>10</v>
      </c>
      <c r="B33" s="55">
        <f t="shared" si="0"/>
        <v>0</v>
      </c>
      <c r="C33" s="55"/>
      <c r="D33" s="7"/>
      <c r="E33" s="7"/>
      <c r="F33" s="7"/>
      <c r="G33" s="7"/>
      <c r="H33" s="7"/>
      <c r="I33" s="7"/>
      <c r="J33" s="7"/>
      <c r="K33" s="7"/>
      <c r="L33" s="7"/>
    </row>
    <row r="34" spans="1:12" s="7" customFormat="1" x14ac:dyDescent="0.2">
      <c r="A34" s="61" t="s">
        <v>11</v>
      </c>
      <c r="B34" s="55">
        <f t="shared" si="0"/>
        <v>0</v>
      </c>
      <c r="C34" s="55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">
      <c r="A35" s="60" t="s">
        <v>13</v>
      </c>
      <c r="B35" s="55">
        <f t="shared" si="0"/>
        <v>0</v>
      </c>
      <c r="C35" s="55"/>
    </row>
    <row r="36" spans="1:12" x14ac:dyDescent="0.2">
      <c r="A36" s="60" t="s">
        <v>14</v>
      </c>
      <c r="B36" s="55">
        <f t="shared" si="0"/>
        <v>0</v>
      </c>
      <c r="C36" s="55"/>
    </row>
    <row r="37" spans="1:12" x14ac:dyDescent="0.2">
      <c r="A37" s="60" t="s">
        <v>15</v>
      </c>
      <c r="B37" s="55">
        <f t="shared" si="0"/>
        <v>0</v>
      </c>
      <c r="C37" s="55"/>
      <c r="K37" s="2"/>
      <c r="L37" s="2"/>
    </row>
    <row r="38" spans="1:12" x14ac:dyDescent="0.2">
      <c r="K38" s="2"/>
      <c r="L38" s="2"/>
    </row>
  </sheetData>
  <sheetProtection selectLockedCells="1" selectUnlockedCells="1"/>
  <conditionalFormatting sqref="H3:H7 H21:H36 H10:K19">
    <cfRule type="cellIs" dxfId="14" priority="23" operator="equal">
      <formula>0</formula>
    </cfRule>
  </conditionalFormatting>
  <conditionalFormatting sqref="I3:I7 I21:I36">
    <cfRule type="cellIs" dxfId="13" priority="22" operator="equal">
      <formula>0</formula>
    </cfRule>
  </conditionalFormatting>
  <conditionalFormatting sqref="J3:J7 J21:J36">
    <cfRule type="cellIs" dxfId="12" priority="21" operator="equal">
      <formula>0</formula>
    </cfRule>
  </conditionalFormatting>
  <conditionalFormatting sqref="K3:K7 K21:K36">
    <cfRule type="cellIs" dxfId="11" priority="20" operator="equal">
      <formula>0</formula>
    </cfRule>
  </conditionalFormatting>
  <conditionalFormatting sqref="F3:G7 F21:G36 F10:G19">
    <cfRule type="cellIs" dxfId="10" priority="16" operator="equal">
      <formula>0</formula>
    </cfRule>
  </conditionalFormatting>
  <conditionalFormatting sqref="F1">
    <cfRule type="cellIs" dxfId="9" priority="14" operator="equal">
      <formula>0</formula>
    </cfRule>
  </conditionalFormatting>
  <conditionalFormatting sqref="D3:E7 D21:E36 D10:E19">
    <cfRule type="cellIs" dxfId="8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1495425</xdr:colOff>
                    <xdr:row>39</xdr:row>
                    <xdr:rowOff>19050</xdr:rowOff>
                  </from>
                  <to>
                    <xdr:col>3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>
    <pageSetUpPr fitToPage="1"/>
  </sheetPr>
  <dimension ref="A1:L38"/>
  <sheetViews>
    <sheetView workbookViewId="0">
      <selection activeCell="G15" sqref="G15"/>
    </sheetView>
  </sheetViews>
  <sheetFormatPr defaultColWidth="8.85546875" defaultRowHeight="12.75" x14ac:dyDescent="0.2"/>
  <cols>
    <col min="1" max="1" width="43.28515625" style="1" customWidth="1"/>
    <col min="2" max="2" width="12.42578125" style="1" customWidth="1"/>
    <col min="3" max="3" width="22.140625" style="1" customWidth="1"/>
    <col min="4" max="6" width="12.85546875" style="1" customWidth="1"/>
    <col min="7" max="7" width="11.42578125" style="1" bestFit="1" customWidth="1"/>
    <col min="8" max="10" width="9" style="1" bestFit="1" customWidth="1"/>
    <col min="11" max="11" width="11.42578125" style="1" bestFit="1" customWidth="1"/>
    <col min="12" max="16384" width="8.85546875" style="1"/>
  </cols>
  <sheetData>
    <row r="1" spans="1:12" ht="18" x14ac:dyDescent="0.25">
      <c r="A1" s="13"/>
      <c r="B1" s="14"/>
      <c r="C1" s="16"/>
      <c r="D1" s="15"/>
      <c r="E1" s="63" t="str">
        <f>Баланс!J1</f>
        <v>Московская область.</v>
      </c>
      <c r="F1" s="64" t="str">
        <f>Баланс!K1</f>
        <v>2022 год</v>
      </c>
      <c r="G1" s="63"/>
      <c r="H1" s="14"/>
      <c r="I1" s="17"/>
      <c r="J1" s="18"/>
      <c r="K1" s="18"/>
      <c r="L1" s="5"/>
    </row>
    <row r="2" spans="1:12" s="6" customFormat="1" ht="25.5" x14ac:dyDescent="0.2">
      <c r="A2" s="52" t="s">
        <v>62</v>
      </c>
      <c r="B2" s="53" t="s">
        <v>61</v>
      </c>
    </row>
    <row r="3" spans="1:12" x14ac:dyDescent="0.2">
      <c r="A3" s="54" t="s">
        <v>28</v>
      </c>
      <c r="B3" s="55"/>
    </row>
    <row r="4" spans="1:12" s="7" customFormat="1" x14ac:dyDescent="0.2">
      <c r="A4" s="54" t="s">
        <v>16</v>
      </c>
      <c r="B4" s="55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">
      <c r="A5" s="54" t="s">
        <v>17</v>
      </c>
      <c r="B5" s="55"/>
      <c r="C5" s="7"/>
      <c r="D5" s="7"/>
      <c r="E5" s="7"/>
      <c r="F5" s="7"/>
      <c r="G5" s="7"/>
      <c r="H5" s="7"/>
      <c r="I5" s="7"/>
      <c r="J5" s="7"/>
      <c r="K5" s="7"/>
      <c r="L5" s="7"/>
    </row>
    <row r="6" spans="1:12" x14ac:dyDescent="0.2">
      <c r="A6" s="54" t="s">
        <v>2</v>
      </c>
      <c r="B6" s="55"/>
    </row>
    <row r="7" spans="1:12" s="8" customFormat="1" x14ac:dyDescent="0.2">
      <c r="A7" s="54" t="s">
        <v>18</v>
      </c>
      <c r="B7" s="59">
        <f>B3+B4-B5+B6</f>
        <v>0</v>
      </c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2">
      <c r="A8" s="56" t="s">
        <v>24</v>
      </c>
      <c r="B8" s="59">
        <f>B7-B9-B16-B17-B18-B19-B20-B21</f>
        <v>0</v>
      </c>
      <c r="C8" s="8"/>
      <c r="D8" s="8"/>
      <c r="E8" s="8"/>
      <c r="F8" s="8"/>
      <c r="G8" s="8"/>
      <c r="H8" s="8"/>
      <c r="I8" s="8"/>
      <c r="J8" s="8"/>
      <c r="K8" s="8"/>
      <c r="L8" s="8"/>
    </row>
    <row r="9" spans="1:12" x14ac:dyDescent="0.2">
      <c r="A9" s="57" t="s">
        <v>32</v>
      </c>
      <c r="B9" s="55"/>
    </row>
    <row r="10" spans="1:12" x14ac:dyDescent="0.2">
      <c r="A10" s="57" t="s">
        <v>23</v>
      </c>
      <c r="B10" s="55"/>
    </row>
    <row r="11" spans="1:12" x14ac:dyDescent="0.2">
      <c r="A11" s="57" t="s">
        <v>21</v>
      </c>
      <c r="B11" s="55"/>
      <c r="C11" s="7"/>
      <c r="D11" s="7"/>
      <c r="E11" s="7"/>
      <c r="F11" s="7"/>
      <c r="G11" s="7"/>
      <c r="H11" s="7"/>
      <c r="I11" s="7"/>
      <c r="J11" s="7"/>
      <c r="K11" s="7"/>
      <c r="L11" s="7"/>
    </row>
    <row r="12" spans="1:12" s="7" customFormat="1" x14ac:dyDescent="0.2">
      <c r="A12" s="58" t="s">
        <v>25</v>
      </c>
      <c r="B12" s="55"/>
      <c r="C12" s="1"/>
      <c r="D12" s="1"/>
      <c r="E12" s="1"/>
      <c r="F12" s="1"/>
      <c r="G12" s="2"/>
      <c r="H12" s="1"/>
      <c r="I12" s="1"/>
      <c r="J12" s="1"/>
      <c r="K12" s="1"/>
      <c r="L12" s="1"/>
    </row>
    <row r="13" spans="1:12" x14ac:dyDescent="0.2">
      <c r="A13" s="58" t="s">
        <v>3</v>
      </c>
      <c r="B13" s="55"/>
    </row>
    <row r="14" spans="1:12" x14ac:dyDescent="0.2">
      <c r="A14" s="58" t="s">
        <v>26</v>
      </c>
      <c r="B14" s="55"/>
      <c r="C14" s="7"/>
      <c r="D14" s="7"/>
      <c r="E14" s="7"/>
      <c r="F14" s="7"/>
      <c r="G14" s="7"/>
      <c r="H14" s="7"/>
      <c r="I14" s="7"/>
      <c r="J14" s="7"/>
      <c r="K14" s="7"/>
      <c r="L14" s="7"/>
    </row>
    <row r="15" spans="1:12" s="7" customFormat="1" ht="25.5" x14ac:dyDescent="0.2">
      <c r="A15" s="58" t="s">
        <v>19</v>
      </c>
      <c r="B15" s="55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">
      <c r="A16" s="57" t="s">
        <v>4</v>
      </c>
      <c r="B16" s="55"/>
    </row>
    <row r="17" spans="1:12" x14ac:dyDescent="0.2">
      <c r="A17" s="57" t="s">
        <v>5</v>
      </c>
      <c r="B17" s="55"/>
      <c r="C17" s="7"/>
      <c r="D17" s="7"/>
      <c r="E17" s="7"/>
      <c r="F17" s="7"/>
      <c r="G17" s="7"/>
      <c r="H17" s="7"/>
      <c r="I17" s="7"/>
      <c r="J17" s="7"/>
      <c r="K17" s="7"/>
      <c r="L17" s="7"/>
    </row>
    <row r="18" spans="1:12" s="7" customFormat="1" x14ac:dyDescent="0.2">
      <c r="A18" s="57" t="s">
        <v>27</v>
      </c>
      <c r="B18" s="55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">
      <c r="A19" s="57" t="s">
        <v>6</v>
      </c>
      <c r="B19" s="55"/>
    </row>
    <row r="20" spans="1:12" x14ac:dyDescent="0.2">
      <c r="A20" s="57" t="s">
        <v>22</v>
      </c>
      <c r="B20" s="55"/>
      <c r="C20" s="8"/>
      <c r="D20" s="8"/>
      <c r="E20" s="8"/>
      <c r="F20" s="8"/>
      <c r="G20" s="8"/>
      <c r="H20" s="9"/>
      <c r="I20" s="8"/>
      <c r="J20" s="8"/>
      <c r="K20" s="8"/>
      <c r="L20" s="8"/>
    </row>
    <row r="21" spans="1:12" s="8" customFormat="1" x14ac:dyDescent="0.2">
      <c r="A21" s="60" t="s">
        <v>7</v>
      </c>
      <c r="B21" s="59">
        <f>B22+B23+B29+B30+B35+B36+B37</f>
        <v>0</v>
      </c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">
      <c r="A22" s="60" t="s">
        <v>12</v>
      </c>
      <c r="B22" s="55"/>
    </row>
    <row r="23" spans="1:12" x14ac:dyDescent="0.2">
      <c r="A23" s="60" t="s">
        <v>53</v>
      </c>
      <c r="B23" s="55"/>
    </row>
    <row r="24" spans="1:12" x14ac:dyDescent="0.2">
      <c r="A24" s="60" t="s">
        <v>56</v>
      </c>
      <c r="B24" s="55"/>
    </row>
    <row r="25" spans="1:12" x14ac:dyDescent="0.2">
      <c r="A25" s="60" t="s">
        <v>57</v>
      </c>
      <c r="B25" s="55"/>
    </row>
    <row r="26" spans="1:12" x14ac:dyDescent="0.2">
      <c r="A26" s="60" t="s">
        <v>58</v>
      </c>
      <c r="B26" s="55"/>
      <c r="C26" s="7"/>
      <c r="D26" s="7"/>
      <c r="E26" s="7"/>
      <c r="F26" s="7"/>
      <c r="G26" s="7"/>
      <c r="H26" s="7"/>
      <c r="I26" s="7"/>
      <c r="J26" s="7"/>
      <c r="K26" s="7"/>
      <c r="L26" s="7"/>
    </row>
    <row r="27" spans="1:12" s="7" customFormat="1" ht="25.5" x14ac:dyDescent="0.2">
      <c r="A27" s="60" t="s">
        <v>59</v>
      </c>
      <c r="B27" s="55"/>
    </row>
    <row r="28" spans="1:12" s="7" customFormat="1" x14ac:dyDescent="0.2">
      <c r="A28" s="60" t="s">
        <v>60</v>
      </c>
      <c r="B28" s="55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">
      <c r="A29" s="60" t="s">
        <v>20</v>
      </c>
      <c r="B29" s="55"/>
    </row>
    <row r="30" spans="1:12" x14ac:dyDescent="0.2">
      <c r="A30" s="60" t="s">
        <v>29</v>
      </c>
      <c r="B30" s="55"/>
      <c r="C30" s="7"/>
      <c r="D30" s="7"/>
      <c r="E30" s="7"/>
      <c r="F30" s="7"/>
      <c r="G30" s="7"/>
      <c r="H30" s="7"/>
      <c r="I30" s="7"/>
      <c r="J30" s="7"/>
      <c r="K30" s="7"/>
      <c r="L30" s="7"/>
    </row>
    <row r="31" spans="1:12" s="7" customFormat="1" x14ac:dyDescent="0.2">
      <c r="A31" s="61" t="s">
        <v>8</v>
      </c>
      <c r="B31" s="55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">
      <c r="A32" s="61" t="s">
        <v>9</v>
      </c>
      <c r="B32" s="55"/>
    </row>
    <row r="33" spans="1:12" x14ac:dyDescent="0.2">
      <c r="A33" s="61" t="s">
        <v>10</v>
      </c>
      <c r="B33" s="55"/>
      <c r="C33" s="7"/>
      <c r="D33" s="7"/>
      <c r="E33" s="7"/>
      <c r="F33" s="7"/>
      <c r="G33" s="7"/>
      <c r="H33" s="7"/>
      <c r="I33" s="7"/>
      <c r="J33" s="7"/>
      <c r="K33" s="7"/>
      <c r="L33" s="7"/>
    </row>
    <row r="34" spans="1:12" s="7" customFormat="1" x14ac:dyDescent="0.2">
      <c r="A34" s="61" t="s">
        <v>11</v>
      </c>
      <c r="B34" s="55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">
      <c r="A35" s="60" t="s">
        <v>13</v>
      </c>
      <c r="B35" s="55"/>
    </row>
    <row r="36" spans="1:12" x14ac:dyDescent="0.2">
      <c r="A36" s="60" t="s">
        <v>14</v>
      </c>
      <c r="B36" s="55"/>
    </row>
    <row r="37" spans="1:12" x14ac:dyDescent="0.2">
      <c r="A37" s="60" t="s">
        <v>15</v>
      </c>
      <c r="B37" s="55"/>
      <c r="K37" s="2"/>
      <c r="L37" s="2"/>
    </row>
    <row r="38" spans="1:12" x14ac:dyDescent="0.2">
      <c r="K38" s="2"/>
      <c r="L38" s="2"/>
    </row>
  </sheetData>
  <sheetProtection selectLockedCells="1" selectUnlockedCells="1"/>
  <conditionalFormatting sqref="H3:H7 H21:H36 H10:K19">
    <cfRule type="cellIs" dxfId="7" priority="19" operator="equal">
      <formula>0</formula>
    </cfRule>
  </conditionalFormatting>
  <conditionalFormatting sqref="I3:I7 I21:I36">
    <cfRule type="cellIs" dxfId="6" priority="18" operator="equal">
      <formula>0</formula>
    </cfRule>
  </conditionalFormatting>
  <conditionalFormatting sqref="J3:J7 J21:J36">
    <cfRule type="cellIs" dxfId="5" priority="17" operator="equal">
      <formula>0</formula>
    </cfRule>
  </conditionalFormatting>
  <conditionalFormatting sqref="K3:K7 K21:K36">
    <cfRule type="cellIs" dxfId="4" priority="16" operator="equal">
      <formula>0</formula>
    </cfRule>
  </conditionalFormatting>
  <conditionalFormatting sqref="E3:G7 E21:G36 E10:G19">
    <cfRule type="cellIs" dxfId="3" priority="12" operator="equal">
      <formula>0</formula>
    </cfRule>
  </conditionalFormatting>
  <conditionalFormatting sqref="D3:D7 D21:D36 D10:D19">
    <cfRule type="cellIs" dxfId="2" priority="11" operator="equal">
      <formula>0</formula>
    </cfRule>
  </conditionalFormatting>
  <conditionalFormatting sqref="F1">
    <cfRule type="cellIs" dxfId="1" priority="10" operator="equal">
      <formula>0</formula>
    </cfRule>
  </conditionalFormatting>
  <conditionalFormatting sqref="C3:C7 C21:C36 C10:C19">
    <cfRule type="cellIs" dxfId="0" priority="1" operator="equal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1781175</xdr:colOff>
                    <xdr:row>39</xdr:row>
                    <xdr:rowOff>0</xdr:rowOff>
                  </from>
                  <to>
                    <xdr:col>2</xdr:col>
                    <xdr:colOff>1171575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Баланс</vt:lpstr>
      <vt:lpstr>Электро</vt:lpstr>
      <vt:lpstr>Тепло</vt:lpstr>
      <vt:lpstr>Пр-й газ</vt:lpstr>
      <vt:lpstr>Уголь</vt:lpstr>
      <vt:lpstr>Каменный Уголь</vt:lpstr>
      <vt:lpstr>Кокс</vt:lpstr>
      <vt:lpstr>Коксовый газ</vt:lpstr>
      <vt:lpstr>Нефтепродукты</vt:lpstr>
      <vt:lpstr>Бензин</vt:lpstr>
      <vt:lpstr>Дизель</vt:lpstr>
      <vt:lpstr>Мазут</vt:lpstr>
      <vt:lpstr>СУГ</vt:lpstr>
      <vt:lpstr>ТПБ</vt:lpstr>
      <vt:lpstr>ПТТ</vt:lpstr>
      <vt:lpstr>Пеллеты</vt:lpstr>
      <vt:lpstr>Древесина</vt:lpstr>
      <vt:lpstr>Пр.тв.т.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Лев Зонин</dc:creator>
  <cp:lastModifiedBy>Лев Зонин</cp:lastModifiedBy>
  <cp:lastPrinted>2024-04-24T07:24:58Z</cp:lastPrinted>
  <dcterms:created xsi:type="dcterms:W3CDTF">2015-02-25T07:22:02Z</dcterms:created>
  <dcterms:modified xsi:type="dcterms:W3CDTF">2024-07-03T05:15:53Z</dcterms:modified>
</cp:coreProperties>
</file>